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380" windowHeight="8190" tabRatio="500" activeTab="1"/>
  </bookViews>
  <sheets>
    <sheet name="Диаграмма1" sheetId="3" r:id="rId1"/>
    <sheet name="Приложение КОД КО" sheetId="1" r:id="rId2"/>
    <sheet name="Справочник валидация" sheetId="2" state="hidden" r:id="rId3"/>
  </sheets>
  <definedNames>
    <definedName name="_xlnm._FilterDatabase" localSheetId="1" hidden="1">'Приложение КОД КО'!$A$19:$I$144</definedName>
    <definedName name="Групповая">'Справочник валидация'!$AG:$AG</definedName>
    <definedName name="Двухдневный">'Справочник валидация'!$E$1:$E$4</definedName>
    <definedName name="Индивидуальная">'Справочник валидация'!$AE$1:$AE$2</definedName>
    <definedName name="Однодневный">'Справочник валидация'!$D$1:$D$11</definedName>
    <definedName name="Парная">'Справочник валидация'!$AF$1:$AF$2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4" i="1" l="1"/>
  <c r="L128" i="1"/>
  <c r="L89" i="1"/>
  <c r="K142" i="1"/>
  <c r="L49" i="1"/>
  <c r="L143" i="1"/>
  <c r="L129" i="1"/>
  <c r="L90" i="1"/>
  <c r="L50" i="1"/>
  <c r="L19" i="1"/>
  <c r="E15" i="1"/>
  <c r="E14" i="1"/>
  <c r="U13" i="1"/>
  <c r="E13" i="1"/>
  <c r="U12" i="1"/>
  <c r="Q12" i="1"/>
  <c r="P12" i="1"/>
  <c r="R12" i="1" s="1"/>
  <c r="E12" i="1"/>
  <c r="U11" i="1"/>
  <c r="Q11" i="1"/>
  <c r="R11" i="1" s="1"/>
  <c r="P11" i="1"/>
  <c r="E11" i="1"/>
  <c r="U10" i="1"/>
  <c r="R10" i="1"/>
  <c r="Q10" i="1"/>
  <c r="P10" i="1"/>
  <c r="E10" i="1"/>
  <c r="U9" i="1"/>
  <c r="Q9" i="1"/>
  <c r="P9" i="1"/>
  <c r="R9" i="1" s="1"/>
  <c r="E9" i="1"/>
  <c r="U8" i="1"/>
  <c r="Q8" i="1"/>
  <c r="P8" i="1"/>
  <c r="R8" i="1" s="1"/>
  <c r="E8" i="1"/>
  <c r="U7" i="1"/>
  <c r="Q7" i="1"/>
  <c r="R7" i="1" s="1"/>
  <c r="P7" i="1"/>
  <c r="E7" i="1"/>
  <c r="U6" i="1"/>
  <c r="R6" i="1"/>
  <c r="Q6" i="1"/>
  <c r="P6" i="1"/>
  <c r="E6" i="1"/>
  <c r="U5" i="1"/>
  <c r="Q5" i="1"/>
  <c r="P5" i="1"/>
  <c r="R5" i="1" s="1"/>
  <c r="U4" i="1"/>
  <c r="U14" i="1" s="1"/>
  <c r="Q4" i="1"/>
  <c r="Q13" i="1" s="1"/>
  <c r="P4" i="1"/>
  <c r="R4" i="1" s="1"/>
  <c r="R13" i="1" s="1"/>
  <c r="P13" i="1" l="1"/>
</calcChain>
</file>

<file path=xl/sharedStrings.xml><?xml version="1.0" encoding="utf-8"?>
<sst xmlns="http://schemas.openxmlformats.org/spreadsheetml/2006/main" count="1964" uniqueCount="1806">
  <si>
    <t>Компетенция</t>
  </si>
  <si>
    <t>Программные решения для бизнеса</t>
  </si>
  <si>
    <t>КОД</t>
  </si>
  <si>
    <t>КОД 1.2-2023-2025</t>
  </si>
  <si>
    <t>Total O</t>
  </si>
  <si>
    <t>Total J</t>
  </si>
  <si>
    <t>Total</t>
  </si>
  <si>
    <t>WSSS Section</t>
  </si>
  <si>
    <t>Все Варианты</t>
  </si>
  <si>
    <t>A</t>
  </si>
  <si>
    <t>WSSS 1</t>
  </si>
  <si>
    <t>Criteria</t>
  </si>
  <si>
    <t>Mark</t>
  </si>
  <si>
    <t>B</t>
  </si>
  <si>
    <t>WSSS 2</t>
  </si>
  <si>
    <t>Системный анализ и проектирование</t>
  </si>
  <si>
    <t>C</t>
  </si>
  <si>
    <t>WSSS 3</t>
  </si>
  <si>
    <t>Разработка программного обеспечения</t>
  </si>
  <si>
    <t>D</t>
  </si>
  <si>
    <t>WSSS 4</t>
  </si>
  <si>
    <t>Стандарты разработки программного обеспечения</t>
  </si>
  <si>
    <t>E</t>
  </si>
  <si>
    <t>WSSS 5</t>
  </si>
  <si>
    <t>Документирование программных решений</t>
  </si>
  <si>
    <t>F</t>
  </si>
  <si>
    <t>WSSS 6</t>
  </si>
  <si>
    <t>G</t>
  </si>
  <si>
    <t>WSSS 7</t>
  </si>
  <si>
    <t>H</t>
  </si>
  <si>
    <t>WSSS 8</t>
  </si>
  <si>
    <t>I</t>
  </si>
  <si>
    <t>WSSS 9</t>
  </si>
  <si>
    <t>WSSS 10</t>
  </si>
  <si>
    <t>Sub
 Criteria
 ID</t>
  </si>
  <si>
    <t>Sub Criteria
 Name or Description</t>
  </si>
  <si>
    <t>Aspect
 Type
 O = Obj
 J = Judg</t>
  </si>
  <si>
    <t>Aspect - Description</t>
  </si>
  <si>
    <t>Judg Score</t>
  </si>
  <si>
    <t>Extra Aspect Description (Obj or Subj)
 OR
 Judgement Score Description (Judg only)</t>
  </si>
  <si>
    <t>Requirement
 or Nominal
 Size (Obj Only)</t>
  </si>
  <si>
    <t>Max
 Mark</t>
  </si>
  <si>
    <t>Criterion
 A</t>
  </si>
  <si>
    <t>Total
 Mark</t>
  </si>
  <si>
    <t>A1</t>
  </si>
  <si>
    <t>Диаграмма прецедентов</t>
  </si>
  <si>
    <t>O</t>
  </si>
  <si>
    <t>Актеры определены верно</t>
  </si>
  <si>
    <t>Минус 40% за каждую ошибку</t>
  </si>
  <si>
    <t>Варианты использования определены верно</t>
  </si>
  <si>
    <t>Виды взаимодействия определены верно</t>
  </si>
  <si>
    <t>A2</t>
  </si>
  <si>
    <t>Дизайн базы данных (ERD)  - проверка по итогам двух сессий</t>
  </si>
  <si>
    <t>Основные сущности определены</t>
  </si>
  <si>
    <t>Минус 0,5 балла за ошибку или не определенный элемент</t>
  </si>
  <si>
    <t>Отношения определены правильно (с учётом отсутствующих объектов)</t>
  </si>
  <si>
    <t>Минус 0,3 балла за ошибку или не определенный элемент</t>
  </si>
  <si>
    <t>Все атрибуты (поля) рассмотрены и определены</t>
  </si>
  <si>
    <t>Минус 0,4 балла за ошибку или не определенный элемент</t>
  </si>
  <si>
    <t>Созданы ограничения на связи между сущностями, отражающие характер предметной области</t>
  </si>
  <si>
    <t>Минус 0,25 балла за ошибку или не определенный элемент</t>
  </si>
  <si>
    <t>Идентификатор в таблице присутствует</t>
  </si>
  <si>
    <t>Минус 0,1 балла за ошибку или не определенный элемент</t>
  </si>
  <si>
    <t>Разработанная база данных находится в 3НФ (при наличии минимального необходимого набора сущностей и связей)</t>
  </si>
  <si>
    <t>Минус 0,3 балла за НФ</t>
  </si>
  <si>
    <t>J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</si>
  <si>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</si>
  <si>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</si>
  <si>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</si>
  <si>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</si>
  <si>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</si>
  <si>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A3</t>
  </si>
  <si>
    <t xml:space="preserve">Словарь данных </t>
  </si>
  <si>
    <t>Словарь данных сохранен согласно требованиям</t>
  </si>
  <si>
    <t>Словарь данных соответствует предоставленной ERD</t>
  </si>
  <si>
    <t>Минус 20% за каждую ошибку</t>
  </si>
  <si>
    <t>Все типы данных, размеры полей являются подходящими</t>
  </si>
  <si>
    <t>Минус 10% за каждую ошибку</t>
  </si>
  <si>
    <t>Обязательность полей является подходящей</t>
  </si>
  <si>
    <t>Комментарии содержит полезную информацию для администраторов БД</t>
  </si>
  <si>
    <t>Словарь данных отсутствует</t>
  </si>
  <si>
    <t>Словарь данных заполнен информацией, не несущей дополнительного смысла, о таблицах, полях, типах данных и ключах</t>
  </si>
  <si>
    <t>Комментарии, указанные дополнительно к основной информации в словаре данных, помогают ориентироваться в системе</t>
  </si>
  <si>
    <t>С помощью словаря данных легко разобраться в структуре любому специалисту, не имеющему отношения к данной предметной области</t>
  </si>
  <si>
    <t>A7</t>
  </si>
  <si>
    <t>Оценка структуры проекта  - проверка по итогам всех сессий</t>
  </si>
  <si>
    <t>Название приложения соответствует названию компании</t>
  </si>
  <si>
    <t>Логика приложения не перемешана</t>
  </si>
  <si>
    <t>Criterion B</t>
  </si>
  <si>
    <t>B1</t>
  </si>
  <si>
    <t>Разработка ПО  - Главное окно системы</t>
  </si>
  <si>
    <t>Список мероприятий отображается верно</t>
  </si>
  <si>
    <t>Реализован фильтр по направлению</t>
  </si>
  <si>
    <t>Реализован поиск по дате</t>
  </si>
  <si>
    <t>Переход на авторизацию</t>
  </si>
  <si>
    <t>B2</t>
  </si>
  <si>
    <t>Разработка ПО- Авторизация</t>
  </si>
  <si>
    <t>Окно авторизации реализовано</t>
  </si>
  <si>
    <t>Авторизация работает на основе БД</t>
  </si>
  <si>
    <t>Переход осуществляется в соответствии с ролью пользователя</t>
  </si>
  <si>
    <t>Минус 40% за каждую ошибку или отсутствующее окно учетной записи (хотя бы заголовок окна)</t>
  </si>
  <si>
    <t>B3</t>
  </si>
  <si>
    <t>Разработка ПО - Окно организатора</t>
  </si>
  <si>
    <t>Окно создано и соответствует макету</t>
  </si>
  <si>
    <t>Система приветствует пользователя по имени и отчеству </t>
  </si>
  <si>
    <t>Система приветствует пользователя  с указанием времени работы</t>
  </si>
  <si>
    <t>При входе в систему подгружается фото пользователя</t>
  </si>
  <si>
    <t>B4</t>
  </si>
  <si>
    <t>Разработка ПО-Регистрация жюри и модераторов</t>
  </si>
  <si>
    <t>Окно доступно только организаторам</t>
  </si>
  <si>
    <t>Происходит генерирация уникального ID Number, изменить его нельзя</t>
  </si>
  <si>
    <t>Выбор пола из списка</t>
  </si>
  <si>
    <t>Маска на поле телефон</t>
  </si>
  <si>
    <t>Выбор роли из списка</t>
  </si>
  <si>
    <t>Ввод корректного e-mail</t>
  </si>
  <si>
    <t>Требования к паролю учтены</t>
  </si>
  <si>
    <t>Изображение загружается</t>
  </si>
  <si>
    <t>Повтор пароля реализован с указанием видимости</t>
  </si>
  <si>
    <t>B5</t>
  </si>
  <si>
    <t>Обработка ошибок/исключений - по итогам всех сессий</t>
  </si>
  <si>
    <t>Приложение корректно обрабатывает или запрещает несоответствие введенной информации типу данных атрибута.</t>
  </si>
  <si>
    <t>Приложение корректно отображает изображения при перемещении папки с исполняемым файлом</t>
  </si>
  <si>
    <t>Фатальные ошибки не возникают и приложение аварийно не завершает работу, реализована программная обработка исключительных ситуаций в приложении</t>
  </si>
  <si>
    <t>Минус 25% за каждое аварийное завершение работы</t>
  </si>
  <si>
    <t>B6</t>
  </si>
  <si>
    <t>Импорт данных</t>
  </si>
  <si>
    <t>Данные об активностях импортированы</t>
  </si>
  <si>
    <t>Минус 20 % за каждую ошибку</t>
  </si>
  <si>
    <t>Данные о городах импортированы</t>
  </si>
  <si>
    <t>Данные о жюри импортированы</t>
  </si>
  <si>
    <t>Данные о мероприятиях импортированы</t>
  </si>
  <si>
    <t>Данные о странах импортированы</t>
  </si>
  <si>
    <t>Данные об участниках импортированы</t>
  </si>
  <si>
    <t>Данные о модераторах импортированы</t>
  </si>
  <si>
    <t xml:space="preserve">Данные об организаторах импортированы </t>
  </si>
  <si>
    <t>Criterion C</t>
  </si>
  <si>
    <t>C1</t>
  </si>
  <si>
    <t>Согласованный внешний вид приложения в соответствии с требованиями к макету - проверка по итогам всех сессий </t>
  </si>
  <si>
    <t>Присутствует возможность изменения размеров окна, где это необходимо</t>
  </si>
  <si>
    <t>Присутствует ограничение на минимальный размер окна</t>
  </si>
  <si>
    <t>Верстка масштабируемая: при увеличении размера окна увеличивается размер контентной части</t>
  </si>
  <si>
    <t>Использованы соответствующие элементы управления (например, выпадающие списки, поля для выбора дат с календарем и тп)</t>
  </si>
  <si>
    <t>У всех компонентов на всех экранах настольного приложения одинаковое выравнивание, размерность, отступы</t>
  </si>
  <si>
    <t>Переход фокуса ввода происходит последовательно по элементам интерфейса</t>
  </si>
  <si>
    <t>Разработан последовательный пользовательский интерфейс: есть возможность перемещаться между существующими окнами (переходы между окнами, кнопка назад)</t>
  </si>
  <si>
    <t>На каждом окне приложения присутствует заголовок</t>
  </si>
  <si>
    <t>C2</t>
  </si>
  <si>
    <t>Исходный код - проверка по итогам всех сессий </t>
  </si>
  <si>
    <t>Исходный код приложения соответствует гайдлайну</t>
  </si>
  <si>
    <t>Минус 25%, если идентификаторы не соответствуют стилю CamelCase (для C# и Java) и snake_case (для Python)</t>
  </si>
  <si>
    <t>Четкость, смысл именования очевидны</t>
  </si>
  <si>
    <t>Минус 25% за каждую ошибку</t>
  </si>
  <si>
    <t>Использовано не более одной команды в строке</t>
  </si>
  <si>
    <t>Код понятен без комментариев</t>
  </si>
  <si>
    <t>Код нечитаемый</t>
  </si>
  <si>
    <t>Код позволяет минимально понять реализованный функционал</t>
  </si>
  <si>
    <t>Код хорошо организован, позволяет с легкостью понять реализованный функционал</t>
  </si>
  <si>
    <t>Идеальный код</t>
  </si>
  <si>
    <t>C3</t>
  </si>
  <si>
    <t>Предоставление результатов работы (git) - проверка по итогам всех сессий </t>
  </si>
  <si>
    <t>Все необходимые результаты размещены в репозитории системы контроля версий</t>
  </si>
  <si>
    <t>Минус 25% за отсутствующий результат</t>
  </si>
  <si>
    <t>Исходные коды представлены не в виде архива</t>
  </si>
  <si>
    <t>C4</t>
  </si>
  <si>
    <t xml:space="preserve">Сообщения обратной связи с пользователем </t>
  </si>
  <si>
    <t>Выводится информация об отсутствии результатов поиска</t>
  </si>
  <si>
    <t>Перед удалением объекта запрашивается подтверждение пользователя</t>
  </si>
  <si>
    <t>Сообщения обратной связи (подсказки, ошибки) полезны для пользователей при работе системы</t>
  </si>
  <si>
    <t>Обратная связь для пользователя отсутствует</t>
  </si>
  <si>
    <t>Сообщения для пользователя присутствуют, но по ним сложно определить, что именно заполнено неверно и как исправить ошибку</t>
  </si>
  <si>
    <t>Сообщения полезные и информативные, содержат полную информацию о совершенных ошибках пользователя и подсказки для их исправления, ясно дают понять порядок дальнейших действий</t>
  </si>
  <si>
    <t>Присутствуют визуальные подсказки для пользователя при вводе данных; Сообщения полезные и информативные, содержат полную информацию о совершенных ошибках пользователя и подсказки для их исправления; Сообщения разделены на типы (ошибки, предупреждения, информация)</t>
  </si>
  <si>
    <t>C5</t>
  </si>
  <si>
    <t>Комментарии по коду - проверка по итогам всех сессий </t>
  </si>
  <si>
    <t>Отсутствуют закомментированные блоки кода</t>
  </si>
  <si>
    <t>Использованный тип комментариев позволяет сгенерировать XML-документацию</t>
  </si>
  <si>
    <t>Используются соответствующие теги: param, return(s), summary и др.</t>
  </si>
  <si>
    <t>Исходный код приложения прокомментирован с очевидным смыслом</t>
  </si>
  <si>
    <t>Комментарии отсутствуют</t>
  </si>
  <si>
    <t>Комментарии дают минимальное понимание кода</t>
  </si>
  <si>
    <t>Комментарии доступно поясняют код</t>
  </si>
  <si>
    <t>Комментарии дают полное и очевидное понимание кода</t>
  </si>
  <si>
    <t>Criterion D</t>
  </si>
  <si>
    <t>D1</t>
  </si>
  <si>
    <t>Руководство  пользователя</t>
  </si>
  <si>
    <t>Название файла с руководством пользователя соответствует требованиям</t>
  </si>
  <si>
    <t>Документ оформлен в соответствии с требованиями</t>
  </si>
  <si>
    <t>Минус 0,1 за каждую ошибку</t>
  </si>
  <si>
    <t>Документация составлена профессионально</t>
  </si>
  <si>
    <t>Руководство пользователя не предоставлено или невозможно определить, что документ предоставленный документ является руководством пользователя</t>
  </si>
  <si>
    <t>Руководство пользователя составлено посредственно, неинформативно, без пояснений и снимков экрана</t>
  </si>
  <si>
    <t>Все возможности системы описаны в руководстве пользователя понятным образом, присутствуют понятные пояснения, примеры и снимки экрана</t>
  </si>
  <si>
    <t>Потрясающее руководство пользователя!</t>
  </si>
  <si>
    <t>Документация охватывает всю систему</t>
  </si>
  <si>
    <t>Документация отсутствует</t>
  </si>
  <si>
    <t>В документации представлены некоторые (не все) возможности системы</t>
  </si>
  <si>
    <t>Все возможности системы представлены в документации</t>
  </si>
  <si>
    <t>Все возможности системы для указанных ролей представлены в документации, выполнено превосходно</t>
  </si>
  <si>
    <t>Competition</t>
  </si>
  <si>
    <t>Наименование компетенции</t>
  </si>
  <si>
    <t>№ CIS</t>
  </si>
  <si>
    <t>Однодневный</t>
  </si>
  <si>
    <t>Двухдневный</t>
  </si>
  <si>
    <t>номер код</t>
  </si>
  <si>
    <t>КОД 1.1-2023-2025</t>
  </si>
  <si>
    <t>Основа_разработки</t>
  </si>
  <si>
    <t>Количество вариантов</t>
  </si>
  <si>
    <t>Различия_вариантов</t>
  </si>
  <si>
    <t>Формат_ДЭ</t>
  </si>
  <si>
    <t>Детализация_распр</t>
  </si>
  <si>
    <t>Формат</t>
  </si>
  <si>
    <t>коды угспкоды специальностей и профессий 
(фгос cпо3+)</t>
  </si>
  <si>
    <t>перечень специальностей и профессий среднего профессионального образования</t>
  </si>
  <si>
    <t>Статус ФГОС</t>
  </si>
  <si>
    <t>Индивидуальная</t>
  </si>
  <si>
    <t>Парная</t>
  </si>
  <si>
    <t>Групповая</t>
  </si>
  <si>
    <t>Статус НОК</t>
  </si>
  <si>
    <t>Статус эксперта</t>
  </si>
  <si>
    <t>Количество экспертов, участвующих в оценке</t>
  </si>
  <si>
    <t>Решение</t>
  </si>
  <si>
    <t>Вид аттестации</t>
  </si>
  <si>
    <t>День ДЭ</t>
  </si>
  <si>
    <t>Да</t>
  </si>
  <si>
    <t>Номер варианта</t>
  </si>
  <si>
    <t>Количество</t>
  </si>
  <si>
    <t>оборудование</t>
  </si>
  <si>
    <t>разработчик</t>
  </si>
  <si>
    <t>Уровень ДЭ</t>
  </si>
  <si>
    <t>автоматизация_оценивания</t>
  </si>
  <si>
    <t>3D Моделирование для компьютерных игр</t>
  </si>
  <si>
    <t>D2</t>
  </si>
  <si>
    <t>КОД 1.1</t>
  </si>
  <si>
    <t>КОД 2.1</t>
  </si>
  <si>
    <t>ФНЧ Молодые профессионалы 2021</t>
  </si>
  <si>
    <t>10.00%</t>
  </si>
  <si>
    <t>Очный формат</t>
  </si>
  <si>
    <t>Участники находятся в ЦПДЭ, эксперты работают удаленно</t>
  </si>
  <si>
    <t>05.01.01</t>
  </si>
  <si>
    <t>гидрометнаблюдатель</t>
  </si>
  <si>
    <t>Актуализированный</t>
  </si>
  <si>
    <t>ДА</t>
  </si>
  <si>
    <t>Сертифицированный эксперт</t>
  </si>
  <si>
    <t>1. Оставшийся вне группы участник работает самостоятельно один, (если таковых более одного, экзаменуемые работают в неполной группе)</t>
  </si>
  <si>
    <t>ГИА</t>
  </si>
  <si>
    <t>Подготовительный (C-1)</t>
  </si>
  <si>
    <t>Нет</t>
  </si>
  <si>
    <t>все варианты</t>
  </si>
  <si>
    <t>расходные материалы</t>
  </si>
  <si>
    <t>согласующий</t>
  </si>
  <si>
    <t>ФГОС СПО</t>
  </si>
  <si>
    <t>Полная автоматизация</t>
  </si>
  <si>
    <t>Агент страховой</t>
  </si>
  <si>
    <t>T88</t>
  </si>
  <si>
    <t>КОД 1.2</t>
  </si>
  <si>
    <t>КОД 2.2</t>
  </si>
  <si>
    <t>КОД 1.3-2023-2025</t>
  </si>
  <si>
    <t>Мировой чемпионат WorldSkills International 2021</t>
  </si>
  <si>
    <t>15.00%</t>
  </si>
  <si>
    <t>Распределенный формат</t>
  </si>
  <si>
    <t>Эксперты находятся в ЦПДЭ, участники работают удаленно</t>
  </si>
  <si>
    <t>Не предусмотрено</t>
  </si>
  <si>
    <t>05.02.01</t>
  </si>
  <si>
    <t>картография</t>
  </si>
  <si>
    <t>Неактуализированный</t>
  </si>
  <si>
    <t>НЕТ</t>
  </si>
  <si>
    <t>Эксперт с правом проведения чемпионата</t>
  </si>
  <si>
    <t>2. Оставшийся вне группы участник присоединяется к одной из групп, где состав получается на одного человека больше, (если таковых более одного, экзаменуемые распределяются в несколько сформированных групп, в каждой из которых состав получается на 1 человека более предписанного)</t>
  </si>
  <si>
    <t>Промежуточная</t>
  </si>
  <si>
    <t>День 1 (C1)</t>
  </si>
  <si>
    <t>другое</t>
  </si>
  <si>
    <t>WSR</t>
  </si>
  <si>
    <t>Частичная автоматизация</t>
  </si>
  <si>
    <t>Агрономия</t>
  </si>
  <si>
    <t>R92</t>
  </si>
  <si>
    <t>КОД 1.3</t>
  </si>
  <si>
    <t>КОД 2.3</t>
  </si>
  <si>
    <t>КОД 1.4-2023-2025</t>
  </si>
  <si>
    <t>WorldSkills Hi-Tech 2021</t>
  </si>
  <si>
    <t>20.00%</t>
  </si>
  <si>
    <t>Дистанционный формат</t>
  </si>
  <si>
    <t>Эксперты приходят на площадку после уходя участников</t>
  </si>
  <si>
    <t>05.02.02</t>
  </si>
  <si>
    <t>гидрология</t>
  </si>
  <si>
    <t>Эксперт демонстрационного экзамена</t>
  </si>
  <si>
    <t>3. Оставшийся вне группы участник работает с волонтером из числа представителей ЦПДЭ, (если таковых более одного, экзаменуемые собираются в неполную группу и к ним добавляется необходимое количество волонтеров для формирования группы указанного размера)</t>
  </si>
  <si>
    <t>ГИА, Промежуточная</t>
  </si>
  <si>
    <t>День 2 (C2)</t>
  </si>
  <si>
    <t>ЖКХ</t>
  </si>
  <si>
    <t>Автоматизация неприменима</t>
  </si>
  <si>
    <t>Адаптация иностранных граждан (миграционный эксперт)</t>
  </si>
  <si>
    <t>V45</t>
  </si>
  <si>
    <t>КОД 1.4</t>
  </si>
  <si>
    <t>КОД 2.4</t>
  </si>
  <si>
    <t>КОД 1.5-2023-2025</t>
  </si>
  <si>
    <t>25.00%</t>
  </si>
  <si>
    <t>05.02.03</t>
  </si>
  <si>
    <t>метеорология</t>
  </si>
  <si>
    <t>Сертифицированный эксперт-мастер</t>
  </si>
  <si>
    <t>Аддитивное производство</t>
  </si>
  <si>
    <t>R22</t>
  </si>
  <si>
    <t>КОД 1.5</t>
  </si>
  <si>
    <t>КОД 2.5</t>
  </si>
  <si>
    <t>КОД 1.6-2023-2025</t>
  </si>
  <si>
    <t>30.00%</t>
  </si>
  <si>
    <t>07.02.01</t>
  </si>
  <si>
    <t>архитектура</t>
  </si>
  <si>
    <t>Корневой эксперт</t>
  </si>
  <si>
    <t>Администрирование отеля</t>
  </si>
  <si>
    <t>E57</t>
  </si>
  <si>
    <t>КОД 1.6</t>
  </si>
  <si>
    <t>КОД 1.7-2023-2025</t>
  </si>
  <si>
    <t>35.00%</t>
  </si>
  <si>
    <t>08.01.01</t>
  </si>
  <si>
    <t>изготовитель арматурных сеток и каркасов</t>
  </si>
  <si>
    <t>Менеждер компетенции</t>
  </si>
  <si>
    <t>Акушерское дело</t>
  </si>
  <si>
    <t>V46</t>
  </si>
  <si>
    <t>КОД 1.7</t>
  </si>
  <si>
    <t>КОД 1.8-2023-2025</t>
  </si>
  <si>
    <t>08.01.02</t>
  </si>
  <si>
    <t>монтажник трубопроводов</t>
  </si>
  <si>
    <t>Международный эксперт</t>
  </si>
  <si>
    <t>Аппаратчик химических технологий</t>
  </si>
  <si>
    <t>T2</t>
  </si>
  <si>
    <t>КОД 1.8</t>
  </si>
  <si>
    <t>КОД 1.9-2023-2025</t>
  </si>
  <si>
    <t>08.01.04</t>
  </si>
  <si>
    <t>кровельщик</t>
  </si>
  <si>
    <t>Архитектор интеллектуальных систем управления</t>
  </si>
  <si>
    <t>T89</t>
  </si>
  <si>
    <t>КОД 1.9</t>
  </si>
  <si>
    <t>КОД 1.10-2023-2025</t>
  </si>
  <si>
    <t>08.01.05</t>
  </si>
  <si>
    <t>мастер столярно-плотничных и паркетных работ</t>
  </si>
  <si>
    <t>10</t>
  </si>
  <si>
    <t>Архитектура</t>
  </si>
  <si>
    <t>T23</t>
  </si>
  <si>
    <t>КОД 1.10</t>
  </si>
  <si>
    <t>КОД 1.11-2023-2025</t>
  </si>
  <si>
    <t>08.01.06</t>
  </si>
  <si>
    <t>мастер сухого строительства</t>
  </si>
  <si>
    <t>Архитектурная обработка камня</t>
  </si>
  <si>
    <t>КОД 1.12-2023-2025</t>
  </si>
  <si>
    <t>08.01.07</t>
  </si>
  <si>
    <t>мастер общестроительных работ</t>
  </si>
  <si>
    <t>Банковское дело</t>
  </si>
  <si>
    <t>T48</t>
  </si>
  <si>
    <t>КОД 1.13-2023-2025</t>
  </si>
  <si>
    <t>08.01.08</t>
  </si>
  <si>
    <t>мастер отделочных строительных работ</t>
  </si>
  <si>
    <t>Безопасность жизнедеятельности на судне</t>
  </si>
  <si>
    <t>T13</t>
  </si>
  <si>
    <t>КОД 1.14-2023-2025</t>
  </si>
  <si>
    <t>08.01.09</t>
  </si>
  <si>
    <t>слесарь по строительно-монтажным работам</t>
  </si>
  <si>
    <t>Бережливое производство</t>
  </si>
  <si>
    <t>T76</t>
  </si>
  <si>
    <t>КОД 1.15-2023-2025</t>
  </si>
  <si>
    <t>08.01.10</t>
  </si>
  <si>
    <t>мастер жилищно-коммунального хозяйства</t>
  </si>
  <si>
    <t>-</t>
  </si>
  <si>
    <t>Бетонные строительные работы</t>
  </si>
  <si>
    <t>КОД 2.1-2023-2025</t>
  </si>
  <si>
    <t>08.01.11</t>
  </si>
  <si>
    <t>машинист машин и оборудования в производстве цемента</t>
  </si>
  <si>
    <t>Бурение скважин</t>
  </si>
  <si>
    <t>V29</t>
  </si>
  <si>
    <t>КОД 2.2-2023-2025</t>
  </si>
  <si>
    <t>08.01.13</t>
  </si>
  <si>
    <t>изготовитель железобетонных изделий</t>
  </si>
  <si>
    <t>Бухгалтерский учет</t>
  </si>
  <si>
    <t>R41</t>
  </si>
  <si>
    <t>КОД 2.3-2023-2025</t>
  </si>
  <si>
    <t>08.01.14</t>
  </si>
  <si>
    <t>монтажник санитарно-технических, вентиляционных систем и оборудования</t>
  </si>
  <si>
    <t>Вальщик леса</t>
  </si>
  <si>
    <t>T74</t>
  </si>
  <si>
    <t>КОД 2.4-2023-2025</t>
  </si>
  <si>
    <t>08.01.15</t>
  </si>
  <si>
    <t>слесарь по изготовлению деталей и узлов технических систем в строительстве</t>
  </si>
  <si>
    <t>Веб-технологии</t>
  </si>
  <si>
    <t>КОД 2.5-2023-2025</t>
  </si>
  <si>
    <t>08.01.16</t>
  </si>
  <si>
    <t>электромонтажник по сигнализации, централизации и блокировке</t>
  </si>
  <si>
    <t>Вертикальный транспорт</t>
  </si>
  <si>
    <t>T90</t>
  </si>
  <si>
    <t>КОД 1.1-2023</t>
  </si>
  <si>
    <t>08.01.17</t>
  </si>
  <si>
    <t>электромонтажник-наладчик</t>
  </si>
  <si>
    <t>Ветеринария</t>
  </si>
  <si>
    <t>R56</t>
  </si>
  <si>
    <t>КОД 1.2-2023</t>
  </si>
  <si>
    <t>08.01.18</t>
  </si>
  <si>
    <t>электромонтажник электрических сетей и электрооборудования</t>
  </si>
  <si>
    <t>Видеопроизводство</t>
  </si>
  <si>
    <t>R1</t>
  </si>
  <si>
    <t>КОД 1.3-2023</t>
  </si>
  <si>
    <t>08.01.19</t>
  </si>
  <si>
    <t>электромонтажник по силовым сетям и электрооборудованию</t>
  </si>
  <si>
    <t>Визаж и стилистика</t>
  </si>
  <si>
    <t>T31</t>
  </si>
  <si>
    <t>КОД 1.4-2023</t>
  </si>
  <si>
    <t>08.01.21</t>
  </si>
  <si>
    <t>монтажник электрических подъемников (лифтов)</t>
  </si>
  <si>
    <t>Визуальный мерчендайзинг</t>
  </si>
  <si>
    <t>КОД 1.5-2023</t>
  </si>
  <si>
    <t>08.01.22</t>
  </si>
  <si>
    <t>мастер путевых машин</t>
  </si>
  <si>
    <t>Виноделие</t>
  </si>
  <si>
    <t>R78</t>
  </si>
  <si>
    <t>КОД 1.6-2023</t>
  </si>
  <si>
    <t>08.01.23</t>
  </si>
  <si>
    <t>бригадир-путеец</t>
  </si>
  <si>
    <t>Внешнее пилотирование и эксплуатация беспилотных воздушных судов</t>
  </si>
  <si>
    <t>T38</t>
  </si>
  <si>
    <t>КОД 1.7-2023</t>
  </si>
  <si>
    <t>08.01.24</t>
  </si>
  <si>
    <t>мастер столярно-плотничных, паркетных и стекольных работ</t>
  </si>
  <si>
    <t>Водитель грузовика</t>
  </si>
  <si>
    <t>T21</t>
  </si>
  <si>
    <t>КОД 1.8-2023</t>
  </si>
  <si>
    <t>08.01.25</t>
  </si>
  <si>
    <t>мастер отделочных строительных и декоративных работ</t>
  </si>
  <si>
    <t>Водные технологии</t>
  </si>
  <si>
    <t>R84</t>
  </si>
  <si>
    <t>КОД 1.9-2023</t>
  </si>
  <si>
    <t>08.01.26</t>
  </si>
  <si>
    <t>мастер по ремонту и обслуживанию инженерных систем жилищно-коммунального хозяйства</t>
  </si>
  <si>
    <t>Вожатская деятельность</t>
  </si>
  <si>
    <t>V44</t>
  </si>
  <si>
    <t>КОД 1.10-2023</t>
  </si>
  <si>
    <t>08.02.01</t>
  </si>
  <si>
    <t>строительство и эксплуатация зданий и сооружений</t>
  </si>
  <si>
    <t>Войлочное искусство-Истинг</t>
  </si>
  <si>
    <t>V12</t>
  </si>
  <si>
    <t>КОД 1.11-2023</t>
  </si>
  <si>
    <t>08.02.02</t>
  </si>
  <si>
    <t>строительство и эксплуатация инженерных сооружений</t>
  </si>
  <si>
    <t>Воспитатель интерната семейного типа</t>
  </si>
  <si>
    <t>V40</t>
  </si>
  <si>
    <t>КОД 1.12-2023</t>
  </si>
  <si>
    <t>08.02.03</t>
  </si>
  <si>
    <t>производство неметаллических строительных изделий и конструкций</t>
  </si>
  <si>
    <t>Выпечка осетинских пирогов</t>
  </si>
  <si>
    <t>R14</t>
  </si>
  <si>
    <t>КОД 1.13-2023</t>
  </si>
  <si>
    <t>08.02.04</t>
  </si>
  <si>
    <t>водоснабжение и водоотведение</t>
  </si>
  <si>
    <t>Выращивание рыбопосадочного материала и товарной рыбы</t>
  </si>
  <si>
    <t>T91</t>
  </si>
  <si>
    <t>КОД 1.14-2023</t>
  </si>
  <si>
    <t>08.02.05</t>
  </si>
  <si>
    <t>строительство и эксплуатация автомобильных дорог и аэродромов</t>
  </si>
  <si>
    <t>Геномная инженерия</t>
  </si>
  <si>
    <t>R51</t>
  </si>
  <si>
    <t>КОД 1.15-2023</t>
  </si>
  <si>
    <t>08.02.06</t>
  </si>
  <si>
    <t>строительство и эксплуатация городских путей сообщения</t>
  </si>
  <si>
    <t>Геопространственные технологии</t>
  </si>
  <si>
    <t>R60</t>
  </si>
  <si>
    <t>КОД 2.1-2023</t>
  </si>
  <si>
    <t>08.02.07</t>
  </si>
  <si>
    <t>монтаж и эксплуатация внутренних сантехнических устройств, кондиционирования воздуха и вентиляции</t>
  </si>
  <si>
    <t>Графический дизайн</t>
  </si>
  <si>
    <t>КОД 2.2-2023</t>
  </si>
  <si>
    <t>08.02.08</t>
  </si>
  <si>
    <t>монтаж и эксплуатация оборудования и систем газоснабжения</t>
  </si>
  <si>
    <t>Дизайн в декоративно-прикладном искусстве (роспись ткани)</t>
  </si>
  <si>
    <t>T92</t>
  </si>
  <si>
    <t>КОД 2.3-2023</t>
  </si>
  <si>
    <t>08.02.09</t>
  </si>
  <si>
    <t>монтаж, наладка и эксплуатация электрооборудования промышленных и гражданских зданий</t>
  </si>
  <si>
    <t>Дизайн интерьера</t>
  </si>
  <si>
    <t>КОД 2.4-2023</t>
  </si>
  <si>
    <t>08.02.10</t>
  </si>
  <si>
    <t>строительство железных дорог, путь и путевое хозяйство</t>
  </si>
  <si>
    <t>Дизайн модной одежды и аксессуаров</t>
  </si>
  <si>
    <t>T49</t>
  </si>
  <si>
    <t>КОД 2.5-2023</t>
  </si>
  <si>
    <t>08.02.11</t>
  </si>
  <si>
    <t>управление, эксплуатация и обслуживание многоквартирного дома</t>
  </si>
  <si>
    <t>Добыча нефти и газа</t>
  </si>
  <si>
    <t>R99</t>
  </si>
  <si>
    <t>КОД 1.1-2023-2025-А</t>
  </si>
  <si>
    <t>09.01.01</t>
  </si>
  <si>
    <t>наладчик аппаратного и программного обеспечения</t>
  </si>
  <si>
    <t>Документационное обеспечение управления и архивоведение</t>
  </si>
  <si>
    <t>T3</t>
  </si>
  <si>
    <t>КОД 1.2-2023-2025-А</t>
  </si>
  <si>
    <t>09.01.02</t>
  </si>
  <si>
    <t>наладчик компьютерных сетей</t>
  </si>
  <si>
    <t>Дополнительное образование детей и взрослых</t>
  </si>
  <si>
    <t>T69</t>
  </si>
  <si>
    <t>КОД 1.3-2023-2025-А</t>
  </si>
  <si>
    <t>09.01.03</t>
  </si>
  <si>
    <t>мастер по обработке цифровой информации</t>
  </si>
  <si>
    <t>Дошкольное воспитание</t>
  </si>
  <si>
    <t>R4</t>
  </si>
  <si>
    <t>КОД 1.4-2023-2025-А</t>
  </si>
  <si>
    <t>09.02.01</t>
  </si>
  <si>
    <t>компьютерные системы и комплексы</t>
  </si>
  <si>
    <t>Звукорежиссура</t>
  </si>
  <si>
    <t>R26</t>
  </si>
  <si>
    <t>КОД 1.5-2023-2025-А</t>
  </si>
  <si>
    <t>09.02.02</t>
  </si>
  <si>
    <t>компьютерные сети</t>
  </si>
  <si>
    <t>Зоотехния</t>
  </si>
  <si>
    <t>T72</t>
  </si>
  <si>
    <t>КОД 1.6-2023-2025-А</t>
  </si>
  <si>
    <t>09.02.03</t>
  </si>
  <si>
    <t>программирование в компьютерных системах</t>
  </si>
  <si>
    <t>Изготовление прототипов</t>
  </si>
  <si>
    <t>КОД 1.7-2023-2025-А</t>
  </si>
  <si>
    <t>09.02.04</t>
  </si>
  <si>
    <t>информационные системы (по отраслям)</t>
  </si>
  <si>
    <t>Инженер-технолог машиностроения</t>
  </si>
  <si>
    <t>R95</t>
  </si>
  <si>
    <t>КОД 1.8-2023-2025-А</t>
  </si>
  <si>
    <t>09.02.05</t>
  </si>
  <si>
    <t>прикладная информатика (по отраслям)</t>
  </si>
  <si>
    <t>Инженерия космических систем</t>
  </si>
  <si>
    <t>R54</t>
  </si>
  <si>
    <t>КОД 1.9-2023-2025-А</t>
  </si>
  <si>
    <t>09.02.06</t>
  </si>
  <si>
    <t>сетевое и системное администрирование</t>
  </si>
  <si>
    <t>Инженерия лесопользования и лесовосстановления</t>
  </si>
  <si>
    <t>V21</t>
  </si>
  <si>
    <t>КОД 1.10-2023-2025-А</t>
  </si>
  <si>
    <t>09.02.07</t>
  </si>
  <si>
    <t>информационные системы и программирование</t>
  </si>
  <si>
    <t>Инженерное проектирование</t>
  </si>
  <si>
    <t>R94</t>
  </si>
  <si>
    <t>КОД 1.11-2023-2025-А</t>
  </si>
  <si>
    <t>10.02.01</t>
  </si>
  <si>
    <t>организация и технология защиты информации</t>
  </si>
  <si>
    <t>Инженерный дизайн CAD</t>
  </si>
  <si>
    <t>КОД 1.12-2023-2025-А</t>
  </si>
  <si>
    <t>10.02.02</t>
  </si>
  <si>
    <t>информационная безопасность телекоммуникационных систем</t>
  </si>
  <si>
    <t>Инструктор-проводник</t>
  </si>
  <si>
    <t>V47</t>
  </si>
  <si>
    <t>КОД 1.13-2023-2025-А</t>
  </si>
  <si>
    <t>10.02.03</t>
  </si>
  <si>
    <t>информационная безопасность автоматизированных систем</t>
  </si>
  <si>
    <t>Интеллектуальные системы учета электроэнергии</t>
  </si>
  <si>
    <t>T36</t>
  </si>
  <si>
    <t>КОД 1.14-2023-2025-А</t>
  </si>
  <si>
    <t>10.02.04</t>
  </si>
  <si>
    <t>обеспечение информационной безопасности телекоммуникационных систем</t>
  </si>
  <si>
    <t>Интернет вещей</t>
  </si>
  <si>
    <t>R23</t>
  </si>
  <si>
    <t>КОД 1.15-2023-2025-А</t>
  </si>
  <si>
    <t>10.02.05</t>
  </si>
  <si>
    <t>обеспечение информационной безопасности автоматизированных систем</t>
  </si>
  <si>
    <t>Интернет-маркетинг</t>
  </si>
  <si>
    <t>T10</t>
  </si>
  <si>
    <t>КОД 2.1-2023-2025-А</t>
  </si>
  <si>
    <t>11.01.01</t>
  </si>
  <si>
    <t>монтажник радиоэлектронной аппаратуры и приборов</t>
  </si>
  <si>
    <t>Информационные кабельные сети</t>
  </si>
  <si>
    <t>КОД 2.2-2023-2025-А</t>
  </si>
  <si>
    <t>11.01.02</t>
  </si>
  <si>
    <t>радиомеханик</t>
  </si>
  <si>
    <t>ИТ-решения для бизнеса на платформе "1С: Предприятие 8"</t>
  </si>
  <si>
    <t>R71</t>
  </si>
  <si>
    <t>КОД 2.3-2023-2025-А</t>
  </si>
  <si>
    <t>11.01.05</t>
  </si>
  <si>
    <t>монтажник связи</t>
  </si>
  <si>
    <t>Квантовые технологии</t>
  </si>
  <si>
    <t>T35</t>
  </si>
  <si>
    <t>КОД 2.4-2023-2025-А</t>
  </si>
  <si>
    <t>11.01.06</t>
  </si>
  <si>
    <t>электромонтер оборудования электросвязи и проводного вещания</t>
  </si>
  <si>
    <t>Кибербезопасность</t>
  </si>
  <si>
    <t>F8</t>
  </si>
  <si>
    <t>КОД 2.5-2023-2025-А</t>
  </si>
  <si>
    <t>11.01.07</t>
  </si>
  <si>
    <t>электромонтер по ремонту линейно-кабельных сооружений телефонной связи и проводного вещания</t>
  </si>
  <si>
    <t>Кирпичная кладка</t>
  </si>
  <si>
    <t>КОД 1.1-2023-А</t>
  </si>
  <si>
    <t>11.01.08</t>
  </si>
  <si>
    <t>оператор связи</t>
  </si>
  <si>
    <t>Командная работа на производстве</t>
  </si>
  <si>
    <t>КОД 1.2-2023-А</t>
  </si>
  <si>
    <t>11.01.11</t>
  </si>
  <si>
    <t>наладчик технологического оборудования (электронная техника)</t>
  </si>
  <si>
    <t>Кондитерское дело</t>
  </si>
  <si>
    <t>КОД 1.3-2023-А</t>
  </si>
  <si>
    <t>11.02.01</t>
  </si>
  <si>
    <t>радиоаппаратостроение</t>
  </si>
  <si>
    <t>Контроль состояния железнодорожного пути</t>
  </si>
  <si>
    <t>T50</t>
  </si>
  <si>
    <t>КОД 1.4-2023-А</t>
  </si>
  <si>
    <t>11.02.02</t>
  </si>
  <si>
    <t>техническое обслуживание и ремонт радиоэлектронной техники (по отраслям)</t>
  </si>
  <si>
    <t>Копирайтинг</t>
  </si>
  <si>
    <t>V20</t>
  </si>
  <si>
    <t>КОД 1.5-2023-А</t>
  </si>
  <si>
    <t>11.02.03</t>
  </si>
  <si>
    <t>эксплуатация оборудования радиосвязи и электрорадионавигации судов</t>
  </si>
  <si>
    <t>Корпоративная защита от внутренних угроз информационной безопасности</t>
  </si>
  <si>
    <t>F7</t>
  </si>
  <si>
    <t>КОД 1.6-2023-А</t>
  </si>
  <si>
    <t>11.02.04</t>
  </si>
  <si>
    <t>радиотехнические комплексы и системы управления космических летательных аппаратов</t>
  </si>
  <si>
    <t>Кровельные работы</t>
  </si>
  <si>
    <t>R66</t>
  </si>
  <si>
    <t>КОД 1.7-2023-А</t>
  </si>
  <si>
    <t>11.02.05</t>
  </si>
  <si>
    <t>аудиовизуальная техника</t>
  </si>
  <si>
    <t>Кровельные работы по металлу</t>
  </si>
  <si>
    <t>E49</t>
  </si>
  <si>
    <t>КОД 1.8-2023-А</t>
  </si>
  <si>
    <t>11.02.06</t>
  </si>
  <si>
    <t>техническая эксплуатация транспортного радиоэлектронного оборудования (по видам транспорта)</t>
  </si>
  <si>
    <t>Кузовной ремонт</t>
  </si>
  <si>
    <t>КОД 1.9-2023-А</t>
  </si>
  <si>
    <t>11.02.07</t>
  </si>
  <si>
    <t>радиотехнические информационные системы</t>
  </si>
  <si>
    <t>Лабораторный медицинский анализ</t>
  </si>
  <si>
    <t>R2</t>
  </si>
  <si>
    <t>КОД 1.10-2023-А</t>
  </si>
  <si>
    <t>11.02.08</t>
  </si>
  <si>
    <t>средства связи с подвижными объектами</t>
  </si>
  <si>
    <t>Лабораторный химический анализ</t>
  </si>
  <si>
    <t>R6</t>
  </si>
  <si>
    <t>КОД 1.11-2023-А</t>
  </si>
  <si>
    <t>11.02.09</t>
  </si>
  <si>
    <t>многоканальные телекоммуникационные системы</t>
  </si>
  <si>
    <t>Лазерные технологии</t>
  </si>
  <si>
    <t>R47</t>
  </si>
  <si>
    <t>КОД 1.12-2023-А</t>
  </si>
  <si>
    <t>11.02.10</t>
  </si>
  <si>
    <t>радиосвязь, радиовещание и телевидение</t>
  </si>
  <si>
    <t>Ландшафтный дизайн</t>
  </si>
  <si>
    <t>КОД 1.13-2023-А</t>
  </si>
  <si>
    <t>11.02.11</t>
  </si>
  <si>
    <t>сети связи и системы коммутации</t>
  </si>
  <si>
    <t>Летающая робототехника</t>
  </si>
  <si>
    <t>F12</t>
  </si>
  <si>
    <t>КОД 1.14-2023-А</t>
  </si>
  <si>
    <t>11.02.12</t>
  </si>
  <si>
    <t>почтовая связь</t>
  </si>
  <si>
    <t>Лечебная деятельность (Фельдшер)</t>
  </si>
  <si>
    <t>T77</t>
  </si>
  <si>
    <t>КОД 1.15-2023-А</t>
  </si>
  <si>
    <t>11.02.13</t>
  </si>
  <si>
    <t>твердотельная электроника</t>
  </si>
  <si>
    <t>Литейное производство</t>
  </si>
  <si>
    <t>V17</t>
  </si>
  <si>
    <t>КОД 2.1-2023-А</t>
  </si>
  <si>
    <t>11.02.14</t>
  </si>
  <si>
    <t>электронные приборы и устройства</t>
  </si>
  <si>
    <t>Магистральные линии связи. Строительство и эксплуатация ВОЛП</t>
  </si>
  <si>
    <t>R81</t>
  </si>
  <si>
    <t>КОД 2.2-2023-А</t>
  </si>
  <si>
    <t>11.02.15</t>
  </si>
  <si>
    <t>инфокоммуникационные сети и системы связи</t>
  </si>
  <si>
    <t>Малярные и декоративные работы</t>
  </si>
  <si>
    <t>КОД 2.3-2023-А</t>
  </si>
  <si>
    <t>11.02.16</t>
  </si>
  <si>
    <t>монтаж, техническое обслуживание и ремонт электронных приборов и устройств</t>
  </si>
  <si>
    <t>Маневровая работа на железнодорожном транспорте</t>
  </si>
  <si>
    <t>T99</t>
  </si>
  <si>
    <t>КОД 2.4-2023-А</t>
  </si>
  <si>
    <t>12.01.02</t>
  </si>
  <si>
    <t>оптик-механик</t>
  </si>
  <si>
    <t>Мастер участка мебельного производства</t>
  </si>
  <si>
    <t>V37</t>
  </si>
  <si>
    <t>КОД 2.5-2023-А</t>
  </si>
  <si>
    <t>12.01.07</t>
  </si>
  <si>
    <t>электромеханик по ремонту и обслуживанию электронной медицинской аппаратуры</t>
  </si>
  <si>
    <t>Мастерство приготовления кофе и чая</t>
  </si>
  <si>
    <t>V24</t>
  </si>
  <si>
    <t>12.01.09</t>
  </si>
  <si>
    <t>мастер по изготовлению и сборке деталей и узлов оптических и оптико-электронных приборов и систем</t>
  </si>
  <si>
    <t>Машинист компрессорных установок</t>
  </si>
  <si>
    <t>V33</t>
  </si>
  <si>
    <t>12.02.01</t>
  </si>
  <si>
    <t>авиационные приборы и комплексы</t>
  </si>
  <si>
    <t>Машинное обучение и большие данные</t>
  </si>
  <si>
    <t>F5</t>
  </si>
  <si>
    <t>12.02.05</t>
  </si>
  <si>
    <t>оптические и оптико-электронные приборы и системы</t>
  </si>
  <si>
    <t>Медиа-пресс технологии упаковочного производства</t>
  </si>
  <si>
    <t>V23</t>
  </si>
  <si>
    <t>12.02.03</t>
  </si>
  <si>
    <t>радиоэлектронные приборные устройства</t>
  </si>
  <si>
    <t>Медицинская оптика</t>
  </si>
  <si>
    <t>R3</t>
  </si>
  <si>
    <t>12.02.04</t>
  </si>
  <si>
    <t>электромеханические приборные устройства</t>
  </si>
  <si>
    <t>Медицинский и социальный уход</t>
  </si>
  <si>
    <t>12.02.06</t>
  </si>
  <si>
    <t>биотехнические и медицинские аппараты и системы</t>
  </si>
  <si>
    <t>Метрология</t>
  </si>
  <si>
    <t>T39</t>
  </si>
  <si>
    <t>12.02.07</t>
  </si>
  <si>
    <t>монтаж, техническое обслуживание и ремонт медицинской техники</t>
  </si>
  <si>
    <t>Метрология и КИП</t>
  </si>
  <si>
    <t>T25</t>
  </si>
  <si>
    <t>12.02.08</t>
  </si>
  <si>
    <t>протезно-ортопедическая и реабилитационная техника</t>
  </si>
  <si>
    <t>Мехатроника</t>
  </si>
  <si>
    <t>12.02.09</t>
  </si>
  <si>
    <t>производство и эксплуатация оптических и оптико-электронных приборов и систем</t>
  </si>
  <si>
    <t>Многоосевая обработка на станках с ЧПУ</t>
  </si>
  <si>
    <t>R79</t>
  </si>
  <si>
    <t>12.02.10</t>
  </si>
  <si>
    <t>монтаж, техническое обслуживание и ремонт биотехнических и медицинских аппаратов и систем</t>
  </si>
  <si>
    <t>Мобильная робототехника</t>
  </si>
  <si>
    <t>13.01.01</t>
  </si>
  <si>
    <t>машинист котлов</t>
  </si>
  <si>
    <t>Монтаж и обслуживание радиоэлектронного оборудования на железнодорожном транспорте</t>
  </si>
  <si>
    <t>V13</t>
  </si>
  <si>
    <t>13.01.02</t>
  </si>
  <si>
    <t>машинист паровых турбин</t>
  </si>
  <si>
    <t>Монтаж и техническое обслуживание бытового газового оборудования</t>
  </si>
  <si>
    <t>T44</t>
  </si>
  <si>
    <t>13.01.03</t>
  </si>
  <si>
    <t>электрослесарь по ремонту оборудования электростанций</t>
  </si>
  <si>
    <t>Монтаж и эксплуатация газового оборудования</t>
  </si>
  <si>
    <t>T1</t>
  </si>
  <si>
    <t>13.01.04</t>
  </si>
  <si>
    <t>слесарь по ремонту оборудования электростанций</t>
  </si>
  <si>
    <t>Моушн Дизайн</t>
  </si>
  <si>
    <t>R53</t>
  </si>
  <si>
    <t>13.01.05</t>
  </si>
  <si>
    <t>электромонтер по техническому обслуживанию электростанций и сетей</t>
  </si>
  <si>
    <t>Музейная педагогика</t>
  </si>
  <si>
    <t>V39</t>
  </si>
  <si>
    <t>13.01.06</t>
  </si>
  <si>
    <t>электромонтер-линейщик по монтажу воздушных линий высокого напряжения и контактной сети</t>
  </si>
  <si>
    <t>Мясопереработка</t>
  </si>
  <si>
    <t>T81</t>
  </si>
  <si>
    <t>13.01.07</t>
  </si>
  <si>
    <t>электромонтер по ремонту электросетей</t>
  </si>
  <si>
    <t>Неразрушающий контроль</t>
  </si>
  <si>
    <t>R96</t>
  </si>
  <si>
    <t>13.01.10</t>
  </si>
  <si>
    <t>электромонтер по ремонту и обслуживанию электрооборудования (по отраслям)</t>
  </si>
  <si>
    <t>Ногтевой сервис</t>
  </si>
  <si>
    <t>V42</t>
  </si>
  <si>
    <t>13.01.13</t>
  </si>
  <si>
    <t>электромонтажник-схемщик</t>
  </si>
  <si>
    <t>Облачные технологии</t>
  </si>
  <si>
    <t>T71</t>
  </si>
  <si>
    <t>13.01.14</t>
  </si>
  <si>
    <t>электромеханик по лифтам</t>
  </si>
  <si>
    <t>Облицовка плиткой</t>
  </si>
  <si>
    <t>13.02.01</t>
  </si>
  <si>
    <t>тепловые электрические станции</t>
  </si>
  <si>
    <t>Обогащение полезных ископаемых</t>
  </si>
  <si>
    <t>V18</t>
  </si>
  <si>
    <t>13.02.02</t>
  </si>
  <si>
    <t>теплоснабжение и теплотехническое оборудование</t>
  </si>
  <si>
    <t>Обработка водных биоресурсов</t>
  </si>
  <si>
    <t>T93</t>
  </si>
  <si>
    <t>13.02.03</t>
  </si>
  <si>
    <t>электрические станции, сети и системы</t>
  </si>
  <si>
    <t>Обработка листового металла</t>
  </si>
  <si>
    <t>W46</t>
  </si>
  <si>
    <t>13.02.04</t>
  </si>
  <si>
    <t>гидроэлектроэнергетические установки</t>
  </si>
  <si>
    <t>Обработка янтаря</t>
  </si>
  <si>
    <t>T30</t>
  </si>
  <si>
    <t>13.02.05</t>
  </si>
  <si>
    <t>технология воды, топлива и смазочных материалов на электрических станциях</t>
  </si>
  <si>
    <t>Обслуживание авиационной техники</t>
  </si>
  <si>
    <t>13.02.06</t>
  </si>
  <si>
    <t>релейная защита и автоматизация электроэнергетических систем</t>
  </si>
  <si>
    <t>Обслуживание грузовой техники</t>
  </si>
  <si>
    <t>13.02.07</t>
  </si>
  <si>
    <t>электроснабжение (по отраслям)</t>
  </si>
  <si>
    <t>Обслуживание железнодорожного пути</t>
  </si>
  <si>
    <t>T62</t>
  </si>
  <si>
    <t>13.02.08</t>
  </si>
  <si>
    <t>электроизоляционная, кабельная и конденсаторная техника</t>
  </si>
  <si>
    <t>Обслуживание и ремонт вагонов</t>
  </si>
  <si>
    <t>T85</t>
  </si>
  <si>
    <t>13.02.09</t>
  </si>
  <si>
    <t>монтаж и эксплуатация линий электропередачи</t>
  </si>
  <si>
    <t>Обслуживание и ремонт оборудования релейной защиты и автоматики</t>
  </si>
  <si>
    <t>R48</t>
  </si>
  <si>
    <t>13.02.10</t>
  </si>
  <si>
    <t>электрические машины и аппараты</t>
  </si>
  <si>
    <t>Обслуживание и ремонт устройств железнодорожной автоматики и телемеханики</t>
  </si>
  <si>
    <t>T82</t>
  </si>
  <si>
    <t>13.02.11</t>
  </si>
  <si>
    <t>техническая эксплуатация и обслуживание электрического и электромеханического оборудования (по отраслям)</t>
  </si>
  <si>
    <t>Обслуживание тяжелой техники</t>
  </si>
  <si>
    <t>14.02.01</t>
  </si>
  <si>
    <t>атомные электрические станции и установки</t>
  </si>
  <si>
    <t>Обслуживание устройств тягового электроснабжения</t>
  </si>
  <si>
    <t>T51</t>
  </si>
  <si>
    <t>14.02.02</t>
  </si>
  <si>
    <t>радиационная безопасность</t>
  </si>
  <si>
    <t>Огранка алмазов</t>
  </si>
  <si>
    <t>R28</t>
  </si>
  <si>
    <t>15.01.04</t>
  </si>
  <si>
    <t>наладчик сварочного и газоплазморезательного оборудования</t>
  </si>
  <si>
    <t>Огранка ювелирных вставок</t>
  </si>
  <si>
    <t>R27</t>
  </si>
  <si>
    <t>15.01.05</t>
  </si>
  <si>
    <t>сварщик (ручной и частично механизированной сварки (наплавки)</t>
  </si>
  <si>
    <t>Окраска автомобиля</t>
  </si>
  <si>
    <t>15.01.06</t>
  </si>
  <si>
    <t>сварщик на лазерных установках</t>
  </si>
  <si>
    <t>Оленеводство</t>
  </si>
  <si>
    <t>V41</t>
  </si>
  <si>
    <t>15.01.08</t>
  </si>
  <si>
    <t>наладчик литейного оборудования</t>
  </si>
  <si>
    <t>Организатор онлайн мероприятий</t>
  </si>
  <si>
    <t>V16</t>
  </si>
  <si>
    <t>15.01.09</t>
  </si>
  <si>
    <t>машинист лесозаготовительных и трелевочных машин</t>
  </si>
  <si>
    <t>Организация строительного производства</t>
  </si>
  <si>
    <t>T63</t>
  </si>
  <si>
    <t>15.01.10</t>
  </si>
  <si>
    <t>слесарь по ремонту лесозаготовительного оборудования</t>
  </si>
  <si>
    <t>Организация экскурсионных услуг</t>
  </si>
  <si>
    <t>R58</t>
  </si>
  <si>
    <t>15.01.13</t>
  </si>
  <si>
    <t>монтажник технологического оборудования (по видам оборудования)</t>
  </si>
  <si>
    <t>Охрана окружающей среды</t>
  </si>
  <si>
    <t>T37</t>
  </si>
  <si>
    <t>15.01.17</t>
  </si>
  <si>
    <t>электромеханик по торговому и холодильному оборудованию</t>
  </si>
  <si>
    <t>Охрана труда</t>
  </si>
  <si>
    <t>T8</t>
  </si>
  <si>
    <t>15.01.18</t>
  </si>
  <si>
    <t>машинист холодильных установок</t>
  </si>
  <si>
    <t>Оценка качества и экспертиза строительного производства</t>
  </si>
  <si>
    <t>V04</t>
  </si>
  <si>
    <t>15.01.19</t>
  </si>
  <si>
    <t>наладчик контрольно-измерительных приборов и автоматики</t>
  </si>
  <si>
    <t>Парикмахерское искусство</t>
  </si>
  <si>
    <t>15.01.20</t>
  </si>
  <si>
    <t>слесарь по контрольно-измерительным приборам и автоматике</t>
  </si>
  <si>
    <t>Переработка нефти и газа</t>
  </si>
  <si>
    <t>T55</t>
  </si>
  <si>
    <t>15.01.21</t>
  </si>
  <si>
    <t>электромонтер охранно-пожарной сигнализации</t>
  </si>
  <si>
    <t>Печное дело</t>
  </si>
  <si>
    <t>R93</t>
  </si>
  <si>
    <t>15.01.22</t>
  </si>
  <si>
    <t>чертежник-конструктор</t>
  </si>
  <si>
    <t>Плотницкое дело</t>
  </si>
  <si>
    <t>15.01.23</t>
  </si>
  <si>
    <t>наладчик станков и оборудования в механообработке</t>
  </si>
  <si>
    <t>Поварское дело</t>
  </si>
  <si>
    <t>15.01.25</t>
  </si>
  <si>
    <t>станочник (металлообработка)</t>
  </si>
  <si>
    <t>Подготовка и транспортировка нефти</t>
  </si>
  <si>
    <t>V25</t>
  </si>
  <si>
    <t>15.01.26</t>
  </si>
  <si>
    <t>токарь-универсал</t>
  </si>
  <si>
    <t>Пожарная безопасность</t>
  </si>
  <si>
    <t>T65</t>
  </si>
  <si>
    <t>15.01.27</t>
  </si>
  <si>
    <t>фрезеровщик-универсал</t>
  </si>
  <si>
    <t>Полиграфические технологии</t>
  </si>
  <si>
    <t>15.01.29</t>
  </si>
  <si>
    <t>контролер станочных и слесарных работ</t>
  </si>
  <si>
    <t>Полимеханика и автоматизация</t>
  </si>
  <si>
    <t>15.01.30</t>
  </si>
  <si>
    <t>слесарь</t>
  </si>
  <si>
    <t>Правоохранительная деятельность (Полицейский)</t>
  </si>
  <si>
    <t>T11</t>
  </si>
  <si>
    <t>15.01.31</t>
  </si>
  <si>
    <t>мастер контрольно-измерительных приборов и автоматики</t>
  </si>
  <si>
    <t>Предпринимательство</t>
  </si>
  <si>
    <t>R11</t>
  </si>
  <si>
    <t>15.01.32</t>
  </si>
  <si>
    <t>оператор станков с программным управлением</t>
  </si>
  <si>
    <t>Преподавание английского языка в дистанционном формате</t>
  </si>
  <si>
    <t>T29</t>
  </si>
  <si>
    <t>15.01.33</t>
  </si>
  <si>
    <t>токарь на станках с числовым программным управлением</t>
  </si>
  <si>
    <t>Преподавание в младших классах</t>
  </si>
  <si>
    <t>R21</t>
  </si>
  <si>
    <t>15.01.34</t>
  </si>
  <si>
    <t>фрезеровщик на станках с числовым программным управлением</t>
  </si>
  <si>
    <t>Преподавание в основной и средней школе</t>
  </si>
  <si>
    <t>R19</t>
  </si>
  <si>
    <t>15.01.35</t>
  </si>
  <si>
    <t>мастер слесарных работ</t>
  </si>
  <si>
    <t>Преподавание музыки в школе</t>
  </si>
  <si>
    <t>R57</t>
  </si>
  <si>
    <t>15.01.36</t>
  </si>
  <si>
    <t>дефектоскопист</t>
  </si>
  <si>
    <t>Преподавание технологии</t>
  </si>
  <si>
    <t>R5</t>
  </si>
  <si>
    <t>15.02.01</t>
  </si>
  <si>
    <t>монтаж и техническая эксплуатация промышленного оборудования (по отраслям)</t>
  </si>
  <si>
    <t>Прибрежное рыболовство</t>
  </si>
  <si>
    <t>T94</t>
  </si>
  <si>
    <t>15.02.02</t>
  </si>
  <si>
    <t>техническая эксплуатация оборудования для производства электронной техники</t>
  </si>
  <si>
    <t>Проводник пассажирского вагона</t>
  </si>
  <si>
    <t>R44</t>
  </si>
  <si>
    <t>15.02.03</t>
  </si>
  <si>
    <t>техническая эксплуатация гидравлических машин, гидроприводов и гидропневмоавтоматики</t>
  </si>
  <si>
    <t>15.02.04</t>
  </si>
  <si>
    <t>специальные машины и устройства</t>
  </si>
  <si>
    <t>Проектирование и изготовление пресс-форм</t>
  </si>
  <si>
    <t>15.02.05</t>
  </si>
  <si>
    <t>техническая эксплуатация оборудования в торговле и общественном питании</t>
  </si>
  <si>
    <t>Проектирование и моделирование ювелирных украшений</t>
  </si>
  <si>
    <t>T83</t>
  </si>
  <si>
    <t>15.02.06</t>
  </si>
  <si>
    <t>монтаж и техническая эксплуатация холодильно-компрессорных машин и установок (по отраслям)</t>
  </si>
  <si>
    <t>Проектирование нейроинтерфейсов</t>
  </si>
  <si>
    <t>T34</t>
  </si>
  <si>
    <t>15.02.07</t>
  </si>
  <si>
    <t>автоматизация технологических процессов и производств (по отраслям)</t>
  </si>
  <si>
    <t>Проектировщик индивидуальной финансовой траектории</t>
  </si>
  <si>
    <t>V27</t>
  </si>
  <si>
    <t>15.02.08</t>
  </si>
  <si>
    <t>технология машиностроения</t>
  </si>
  <si>
    <t>Производственная сборка изделий авиационной техники</t>
  </si>
  <si>
    <t>R49</t>
  </si>
  <si>
    <t>15.02.09</t>
  </si>
  <si>
    <t>аддитивные технологии</t>
  </si>
  <si>
    <t>Производство мебели</t>
  </si>
  <si>
    <t>15.02.10</t>
  </si>
  <si>
    <t>мехатроника и мобильная робототехника (по отраслям)</t>
  </si>
  <si>
    <t>Производство металлоконструкций</t>
  </si>
  <si>
    <t>15.02.11</t>
  </si>
  <si>
    <t>техническая эксплуатация и обслуживание роботизированного производства</t>
  </si>
  <si>
    <t>Производство молочной продукции</t>
  </si>
  <si>
    <t>T68</t>
  </si>
  <si>
    <t>15.02.12</t>
  </si>
  <si>
    <t>монтаж, техническое обслуживание и ремонт промышленного оборудования (по отраслям)</t>
  </si>
  <si>
    <t>Производство мясных продуктов</t>
  </si>
  <si>
    <t>T67</t>
  </si>
  <si>
    <t>15.02.13</t>
  </si>
  <si>
    <t>техническое обслуживание и ремонт систем вентиляции и кондиционирования</t>
  </si>
  <si>
    <t>Производство работ на нефтегазовом месторождении</t>
  </si>
  <si>
    <t>V36</t>
  </si>
  <si>
    <t>15.02.14</t>
  </si>
  <si>
    <t>оснащение средствами автоматизации технологических процессов и производств (по отраслям)</t>
  </si>
  <si>
    <t>Промышленная автоматика</t>
  </si>
  <si>
    <t>15.02.15</t>
  </si>
  <si>
    <t>технология металлообрабатывающего производства</t>
  </si>
  <si>
    <t>Промышленная механика и монтаж</t>
  </si>
  <si>
    <t>18.01.01</t>
  </si>
  <si>
    <t>лаборант по физико-механическим испытаниям</t>
  </si>
  <si>
    <t>Промышленная робототехника</t>
  </si>
  <si>
    <t>R46</t>
  </si>
  <si>
    <t>18.01.02</t>
  </si>
  <si>
    <t>лаборант-эколог</t>
  </si>
  <si>
    <t>Промышленная фармацевтика</t>
  </si>
  <si>
    <t>V10</t>
  </si>
  <si>
    <t>18.01.03</t>
  </si>
  <si>
    <t>аппаратчик-оператор экологических установок</t>
  </si>
  <si>
    <t>Промышленное садоводство</t>
  </si>
  <si>
    <t>T86</t>
  </si>
  <si>
    <t>18.01.05</t>
  </si>
  <si>
    <t>аппаратчик-оператор производства неорганических веществ</t>
  </si>
  <si>
    <t>Промышленные биотехнологии</t>
  </si>
  <si>
    <t>V11</t>
  </si>
  <si>
    <t>18.01.06</t>
  </si>
  <si>
    <t>оператор производства стекловолокна, стекловолокнистых материалов и изделий стеклопластиков</t>
  </si>
  <si>
    <t>Промышленный дизайн</t>
  </si>
  <si>
    <t>R42</t>
  </si>
  <si>
    <t>18.01.08</t>
  </si>
  <si>
    <t>мастер-изготовитель деталей и изделий из стекла</t>
  </si>
  <si>
    <t>Психология и технология B2B продаж</t>
  </si>
  <si>
    <t>V43</t>
  </si>
  <si>
    <t>18.01.12</t>
  </si>
  <si>
    <t>изготовитель фарфоровых и фаянсовых изделий</t>
  </si>
  <si>
    <t>Пчеловодство</t>
  </si>
  <si>
    <t>T87</t>
  </si>
  <si>
    <t>18.01.22</t>
  </si>
  <si>
    <t>оператор в производстве шин</t>
  </si>
  <si>
    <t>Работы на токарных универсальных станках</t>
  </si>
  <si>
    <t>R37</t>
  </si>
  <si>
    <t>18.01.24</t>
  </si>
  <si>
    <t>мастер шиномонтажной мастерской</t>
  </si>
  <si>
    <t>Работы на фрезерных универсальных станках</t>
  </si>
  <si>
    <t>R38</t>
  </si>
  <si>
    <t>18.01.26</t>
  </si>
  <si>
    <t>аппаратчик-оператор нефтехимического производства</t>
  </si>
  <si>
    <t>Радиотехника 5G и последующих поколений</t>
  </si>
  <si>
    <t>V05</t>
  </si>
  <si>
    <t>18.01.27</t>
  </si>
  <si>
    <t>машинист технологических насосов и компрессоров</t>
  </si>
  <si>
    <t>Разработка виртуальной и дополненной реальности</t>
  </si>
  <si>
    <t>F3</t>
  </si>
  <si>
    <t>18.01.28</t>
  </si>
  <si>
    <t>оператор нефтепереработки</t>
  </si>
  <si>
    <t>Разработка компьютерных игр и мультимедийных приложений</t>
  </si>
  <si>
    <t>R89</t>
  </si>
  <si>
    <t>18.01.29</t>
  </si>
  <si>
    <t>мастер по обслуживанию магистральных трубопроводов</t>
  </si>
  <si>
    <t>Разработка мобильных приложений</t>
  </si>
  <si>
    <t>F6</t>
  </si>
  <si>
    <t>18.01.31</t>
  </si>
  <si>
    <t>машинист машин коксохимического производства</t>
  </si>
  <si>
    <t>Разработка решений с использованием блокчейн технологий</t>
  </si>
  <si>
    <t>F4</t>
  </si>
  <si>
    <t>18.01.32</t>
  </si>
  <si>
    <t>аппаратчик-оператор азотных производств и продуктов органического синтеза</t>
  </si>
  <si>
    <t>Реклама</t>
  </si>
  <si>
    <t>T14</t>
  </si>
  <si>
    <t>18.01.33</t>
  </si>
  <si>
    <t>лаборант по контролю качества сырья, реактивов, промежуточных продуктов, готовой продукции, отходов производства (по отраслям)</t>
  </si>
  <si>
    <t>Рекрутинг</t>
  </si>
  <si>
    <t>R91</t>
  </si>
  <si>
    <t>18.02.01</t>
  </si>
  <si>
    <t>аналитический контроль качества химических соединений</t>
  </si>
  <si>
    <t>Ремесленная керамика</t>
  </si>
  <si>
    <t>T24</t>
  </si>
  <si>
    <t>18.02.03</t>
  </si>
  <si>
    <t>химическая технология неорганических веществ</t>
  </si>
  <si>
    <t>Ремонт и обслуживание легковых автомобилей</t>
  </si>
  <si>
    <t>18.02.04</t>
  </si>
  <si>
    <t>электрохимическое производство</t>
  </si>
  <si>
    <t>Ремонт и сервис нефтегазового оборудования</t>
  </si>
  <si>
    <t>V19</t>
  </si>
  <si>
    <t>18.02.05</t>
  </si>
  <si>
    <t>производство тугоплавких неметаллических и силикатных материалов и изделий</t>
  </si>
  <si>
    <t>Ремонт технологического оборудования химических производств</t>
  </si>
  <si>
    <t>T26</t>
  </si>
  <si>
    <t>18.02.06</t>
  </si>
  <si>
    <t>химическая технология органических веществ</t>
  </si>
  <si>
    <t>Реставрация произведений живописи</t>
  </si>
  <si>
    <t>T98</t>
  </si>
  <si>
    <t>18.02.07</t>
  </si>
  <si>
    <t>технология производства и переработки пластических масс и эластомеров</t>
  </si>
  <si>
    <t>Реставрация произведений из дерева</t>
  </si>
  <si>
    <t>R87</t>
  </si>
  <si>
    <t>18.02.09</t>
  </si>
  <si>
    <t>переработка нефти и газа</t>
  </si>
  <si>
    <t>Ресторанный сервис</t>
  </si>
  <si>
    <t>18.02.10</t>
  </si>
  <si>
    <t>коксохимическое производство</t>
  </si>
  <si>
    <t>Роботизированная сварка</t>
  </si>
  <si>
    <t>T70</t>
  </si>
  <si>
    <t>18.02.11</t>
  </si>
  <si>
    <t>технология пиротехнических составов и изделий</t>
  </si>
  <si>
    <t>Сантехника и отопление</t>
  </si>
  <si>
    <t>18.02.12</t>
  </si>
  <si>
    <t>технология аналитического контроля химических соединений</t>
  </si>
  <si>
    <t>Сборка корпусов металлических судов</t>
  </si>
  <si>
    <t>T22</t>
  </si>
  <si>
    <t>18.02.13</t>
  </si>
  <si>
    <t>технология производства изделий из полимерных композитов</t>
  </si>
  <si>
    <t>Сварочные технологии</t>
  </si>
  <si>
    <t>19.01.01</t>
  </si>
  <si>
    <t>аппаратчик-оператор в биотехнологии</t>
  </si>
  <si>
    <t>Сельскохозяйственные биотехнологии</t>
  </si>
  <si>
    <t>T9</t>
  </si>
  <si>
    <t>19.01.02</t>
  </si>
  <si>
    <t>лаборант-аналитик</t>
  </si>
  <si>
    <t>Сервис на воздушном транспорте</t>
  </si>
  <si>
    <t>R16</t>
  </si>
  <si>
    <t>19.01.04</t>
  </si>
  <si>
    <t>пекарь</t>
  </si>
  <si>
    <t>Сервис на объектах гостеприимства «Горничная»</t>
  </si>
  <si>
    <t>V28</t>
  </si>
  <si>
    <t>19.01.06</t>
  </si>
  <si>
    <t>аппаратчик производства сахара</t>
  </si>
  <si>
    <t>Сетевое и системное администрирование</t>
  </si>
  <si>
    <t>19.01.07</t>
  </si>
  <si>
    <t>кондитер сахаристых изделий</t>
  </si>
  <si>
    <t>Синтез и обработка минералов</t>
  </si>
  <si>
    <t>F10</t>
  </si>
  <si>
    <t>19.01.09</t>
  </si>
  <si>
    <t>наладчик оборудования в производстве пищевой продукции (по отраслям производства)</t>
  </si>
  <si>
    <t>Сити-Фермерство</t>
  </si>
  <si>
    <t>F11</t>
  </si>
  <si>
    <t>19.01.10</t>
  </si>
  <si>
    <t>мастер производства молочной продукции</t>
  </si>
  <si>
    <t>Сметное дело</t>
  </si>
  <si>
    <t>T57</t>
  </si>
  <si>
    <t>19.01.11</t>
  </si>
  <si>
    <t>изготовитель мороженого</t>
  </si>
  <si>
    <t>Социальная работа</t>
  </si>
  <si>
    <t>R63</t>
  </si>
  <si>
    <t>19.01.12</t>
  </si>
  <si>
    <t>переработчик скота и мяса</t>
  </si>
  <si>
    <t>Спасательные работы</t>
  </si>
  <si>
    <t>R10</t>
  </si>
  <si>
    <t>19.01.14</t>
  </si>
  <si>
    <t>оператор процессов колбасного производства</t>
  </si>
  <si>
    <t>Специалист по стрим технологиям</t>
  </si>
  <si>
    <t>V15</t>
  </si>
  <si>
    <t>19.01.15</t>
  </si>
  <si>
    <t>аппаратчик получения растительного масла</t>
  </si>
  <si>
    <t>Специалист по тестированию игрового программного обеспечения</t>
  </si>
  <si>
    <t>V14</t>
  </si>
  <si>
    <t>19.02.01</t>
  </si>
  <si>
    <t>биохимическое производство</t>
  </si>
  <si>
    <t>Столярное дело</t>
  </si>
  <si>
    <t>19.02.02</t>
  </si>
  <si>
    <t>технология хранения и переработки зерна</t>
  </si>
  <si>
    <t>Стоматология ортопедическая</t>
  </si>
  <si>
    <t>T6</t>
  </si>
  <si>
    <t>19.02.03</t>
  </si>
  <si>
    <t>технология хлеба, кондитерских и макаронных изделий</t>
  </si>
  <si>
    <t>Сухое строительство и штукатурные работы</t>
  </si>
  <si>
    <t>19.02.04</t>
  </si>
  <si>
    <t>технология сахаристых продуктов</t>
  </si>
  <si>
    <t>Технологии информационного моделирования BIM</t>
  </si>
  <si>
    <t>T33</t>
  </si>
  <si>
    <t>19.02.05</t>
  </si>
  <si>
    <t>технология бродильных производств и виноделие</t>
  </si>
  <si>
    <t>Технологии композитов</t>
  </si>
  <si>
    <t>R68</t>
  </si>
  <si>
    <t>19.02.06</t>
  </si>
  <si>
    <t>технология консервов и пищеконцентратов</t>
  </si>
  <si>
    <t>Технологии моды</t>
  </si>
  <si>
    <t>19.02.07</t>
  </si>
  <si>
    <t>технология молока и молочных продуктов</t>
  </si>
  <si>
    <t>Технологии физического развития</t>
  </si>
  <si>
    <t>V03</t>
  </si>
  <si>
    <t>19.02.08</t>
  </si>
  <si>
    <t>технология мяса и мясных продуктов</t>
  </si>
  <si>
    <t>Технологические системы энергетических объектов</t>
  </si>
  <si>
    <t>T59</t>
  </si>
  <si>
    <t>19.02.09</t>
  </si>
  <si>
    <t>технология жиров и жирозаменителей</t>
  </si>
  <si>
    <t>Технологическое предпринимательство</t>
  </si>
  <si>
    <t>V01U</t>
  </si>
  <si>
    <t>19.02.10</t>
  </si>
  <si>
    <t>технология продукции общественного питания</t>
  </si>
  <si>
    <t>Технология переработки дикорастущего лекарственно-растительного сырья и ягод</t>
  </si>
  <si>
    <t>V08</t>
  </si>
  <si>
    <t>20.01.01</t>
  </si>
  <si>
    <t>пожарный</t>
  </si>
  <si>
    <t>Технология энергоаудита</t>
  </si>
  <si>
    <t>T80</t>
  </si>
  <si>
    <t>20.02.01</t>
  </si>
  <si>
    <t>рациональное использование природохозяйственных комплексов</t>
  </si>
  <si>
    <t>Токарные работы на станках с ЧПУ</t>
  </si>
  <si>
    <t>20.02.02</t>
  </si>
  <si>
    <t>защита в чрезвычайных ситуациях</t>
  </si>
  <si>
    <t>Турагентская деятельность</t>
  </si>
  <si>
    <t>T41</t>
  </si>
  <si>
    <t>20.02.03</t>
  </si>
  <si>
    <t>природоохранное обустройство территорий</t>
  </si>
  <si>
    <t>Туризм</t>
  </si>
  <si>
    <t>R9</t>
  </si>
  <si>
    <t>20.02.04</t>
  </si>
  <si>
    <t>пожарная безопасность</t>
  </si>
  <si>
    <t>Туроператорская деятельность</t>
  </si>
  <si>
    <t>T42</t>
  </si>
  <si>
    <t>20.02.05</t>
  </si>
  <si>
    <t>организация оперативного (экстренного) реагирования в чрезвычайных ситуациях</t>
  </si>
  <si>
    <t>Укладка напольных покрытий</t>
  </si>
  <si>
    <t>E50</t>
  </si>
  <si>
    <t>21.01.01</t>
  </si>
  <si>
    <t>оператор нефтяных и газовых скважин</t>
  </si>
  <si>
    <t>Управление автогрейдером</t>
  </si>
  <si>
    <t>R73</t>
  </si>
  <si>
    <t>21.01.02</t>
  </si>
  <si>
    <t>оператор по ремонту скважин</t>
  </si>
  <si>
    <t>Управление бульдозером</t>
  </si>
  <si>
    <t>R72</t>
  </si>
  <si>
    <t>21.01.03</t>
  </si>
  <si>
    <t>бурильщик эксплуатационных и разведочных скважин</t>
  </si>
  <si>
    <t>Управление вокзальным комплексом</t>
  </si>
  <si>
    <t>T96</t>
  </si>
  <si>
    <t>21.01.04</t>
  </si>
  <si>
    <t>машинист на буровых установках</t>
  </si>
  <si>
    <t>Управление гидроманипулятором</t>
  </si>
  <si>
    <t>T54</t>
  </si>
  <si>
    <t>21.01.07</t>
  </si>
  <si>
    <t>бурильщик морского бурения скважин</t>
  </si>
  <si>
    <t>Управление жизненным циклом/ Управление программой</t>
  </si>
  <si>
    <t>R50</t>
  </si>
  <si>
    <t>21.01.08</t>
  </si>
  <si>
    <t>машинист на открытых горных работах</t>
  </si>
  <si>
    <t>Управление локомотивом</t>
  </si>
  <si>
    <t>R67</t>
  </si>
  <si>
    <t>21.01.10</t>
  </si>
  <si>
    <t>ремонтник горного оборудования</t>
  </si>
  <si>
    <t>Управление перевозочным процессом на железнодорожном транспорте</t>
  </si>
  <si>
    <t>T53</t>
  </si>
  <si>
    <t>21.01.13</t>
  </si>
  <si>
    <t>проходчик</t>
  </si>
  <si>
    <t>Управление складированием</t>
  </si>
  <si>
    <t>T97</t>
  </si>
  <si>
    <t>21.01.15</t>
  </si>
  <si>
    <t>электрослесарь подземный</t>
  </si>
  <si>
    <t>Управление форвардером</t>
  </si>
  <si>
    <t>T27</t>
  </si>
  <si>
    <t>21.01.16</t>
  </si>
  <si>
    <t>обогатитель полезных ископаемых</t>
  </si>
  <si>
    <t>Управление фронтальным погрузчиком</t>
  </si>
  <si>
    <t>R75</t>
  </si>
  <si>
    <t>21.02.01</t>
  </si>
  <si>
    <t>разработка и эксплуатация нефтяных и газовых месторождений</t>
  </si>
  <si>
    <t>Управление харвестером</t>
  </si>
  <si>
    <t>T28</t>
  </si>
  <si>
    <t>21.02.02</t>
  </si>
  <si>
    <t>бурение нефтяных и газовых скважин</t>
  </si>
  <si>
    <t>Управление экскаватором</t>
  </si>
  <si>
    <t>R74</t>
  </si>
  <si>
    <t>21.02.03</t>
  </si>
  <si>
    <t>сооружение и эксплуатация газонефтепроводов и газон ефтехранилиш</t>
  </si>
  <si>
    <t>Урбанистика: городское планирование</t>
  </si>
  <si>
    <t>V09</t>
  </si>
  <si>
    <t>21.02.04</t>
  </si>
  <si>
    <t>землеустройство</t>
  </si>
  <si>
    <t>Фармацевтика</t>
  </si>
  <si>
    <t>R35</t>
  </si>
  <si>
    <t>21.02.05</t>
  </si>
  <si>
    <t>земельно-имущественные отношения</t>
  </si>
  <si>
    <t>Физическая культура, спорт и фитнес</t>
  </si>
  <si>
    <t>21.02.06</t>
  </si>
  <si>
    <t>информационные системы обеспечения градостроительной деятельности</t>
  </si>
  <si>
    <t>Финансы</t>
  </si>
  <si>
    <t>T78</t>
  </si>
  <si>
    <t>21.02.07</t>
  </si>
  <si>
    <t> аэрофотогеодезия</t>
  </si>
  <si>
    <t>Флористика</t>
  </si>
  <si>
    <t>21.02.08</t>
  </si>
  <si>
    <t>прикладная геодезия</t>
  </si>
  <si>
    <t>Фотография</t>
  </si>
  <si>
    <t>R25</t>
  </si>
  <si>
    <t>21.02.09</t>
  </si>
  <si>
    <t>гидрогеология и инженерная геология</t>
  </si>
  <si>
    <t>Фрезерные работы на станках с ЧПУ</t>
  </si>
  <si>
    <t>21.02.10</t>
  </si>
  <si>
    <t>геология и разведка нефтяных и газовых месторождений</t>
  </si>
  <si>
    <t>Хлебопечение</t>
  </si>
  <si>
    <t>21.02.11</t>
  </si>
  <si>
    <t>геофизические методы поисков и разведки месторождений полезных ископаемых</t>
  </si>
  <si>
    <t>Холодильная техника и системы кондиционирования</t>
  </si>
  <si>
    <t>21.02.12</t>
  </si>
  <si>
    <t>технология и техника разведки месторождений полезных ископаемых</t>
  </si>
  <si>
    <t>Художественная резьба по дереву и кости</t>
  </si>
  <si>
    <t>V38</t>
  </si>
  <si>
    <t>21.02.13</t>
  </si>
  <si>
    <t>геологическая съемка, поиски и разведка месторождений полезных ископаемых</t>
  </si>
  <si>
    <t>Художественная роспись по дереву</t>
  </si>
  <si>
    <t>T73</t>
  </si>
  <si>
    <t>21.02.14</t>
  </si>
  <si>
    <t>маркшейдерское дело</t>
  </si>
  <si>
    <t>Цифровая метрология</t>
  </si>
  <si>
    <t>T64</t>
  </si>
  <si>
    <t>21.02.15</t>
  </si>
  <si>
    <t>открытые горные работы</t>
  </si>
  <si>
    <t>Цифровая трансформация</t>
  </si>
  <si>
    <t>V02U</t>
  </si>
  <si>
    <t>21.02.16</t>
  </si>
  <si>
    <t>шахтное строительство</t>
  </si>
  <si>
    <t>Цифровое земледелие</t>
  </si>
  <si>
    <t>T79</t>
  </si>
  <si>
    <t>21.02.17</t>
  </si>
  <si>
    <t>подземная разработка месторождений полезных ископаемых</t>
  </si>
  <si>
    <t>Цифровой модельер</t>
  </si>
  <si>
    <t>T32</t>
  </si>
  <si>
    <t>21.02.18</t>
  </si>
  <si>
    <t>обогащение полезных ископаемых</t>
  </si>
  <si>
    <t>Цифровой электропривод</t>
  </si>
  <si>
    <t>V32</t>
  </si>
  <si>
    <t>22.01.03</t>
  </si>
  <si>
    <t>машинист крана металлургического производства</t>
  </si>
  <si>
    <t>Экспедирование грузов</t>
  </si>
  <si>
    <t>D3</t>
  </si>
  <si>
    <t>22.01.04</t>
  </si>
  <si>
    <t>контролер металлургического производства</t>
  </si>
  <si>
    <t>Эксплуатация беспилотных авиационных систем</t>
  </si>
  <si>
    <t>F1</t>
  </si>
  <si>
    <t>22.01.05</t>
  </si>
  <si>
    <t>аппаратчик-оператор в производстве цветных металлов</t>
  </si>
  <si>
    <t>Эксплуатация и обслуживание многоквартирного дома</t>
  </si>
  <si>
    <t>T43</t>
  </si>
  <si>
    <t>22.01.08</t>
  </si>
  <si>
    <t>оператор прокатного производства</t>
  </si>
  <si>
    <t>Эксплуатация кабельных линий электропередачи</t>
  </si>
  <si>
    <t>R88</t>
  </si>
  <si>
    <t>22.01.09</t>
  </si>
  <si>
    <t>оператор трубного производства</t>
  </si>
  <si>
    <t>Эксплуатация сельскохозяйственных машин</t>
  </si>
  <si>
    <t>E53</t>
  </si>
  <si>
    <t>22.02.01</t>
  </si>
  <si>
    <t>металлургия черных металлов</t>
  </si>
  <si>
    <t>Эксплуатация сервисных роботов</t>
  </si>
  <si>
    <t>T75</t>
  </si>
  <si>
    <t>22.02.02</t>
  </si>
  <si>
    <t>металлургия цветных металлов</t>
  </si>
  <si>
    <t>Эксплуатация судов водного транспорта</t>
  </si>
  <si>
    <t>T5</t>
  </si>
  <si>
    <t>22.02.03</t>
  </si>
  <si>
    <t>питейное производство черных и цветных металлов</t>
  </si>
  <si>
    <t>Электромонтаж</t>
  </si>
  <si>
    <t>22.02.04</t>
  </si>
  <si>
    <t>металловедение и термическая обработка металлов</t>
  </si>
  <si>
    <t>Электроника</t>
  </si>
  <si>
    <t>22.02.05</t>
  </si>
  <si>
    <t>обработка металлов давлением</t>
  </si>
  <si>
    <t>Электрослесарь подземный</t>
  </si>
  <si>
    <t>R61</t>
  </si>
  <si>
    <t>22.02.06</t>
  </si>
  <si>
    <t>сварочное производство</t>
  </si>
  <si>
    <t>Эстетическая косметология</t>
  </si>
  <si>
    <t>22.02.07</t>
  </si>
  <si>
    <t>порошковая металлургия, композиционные материалы, покрытия</t>
  </si>
  <si>
    <t>Ювелирное дело</t>
  </si>
  <si>
    <t>23.01.01</t>
  </si>
  <si>
    <t>оператор транспортного терминала</t>
  </si>
  <si>
    <t>Клиентоориентированный сервис на вокзальном комплексе</t>
  </si>
  <si>
    <t>V31</t>
  </si>
  <si>
    <t>23.01.02</t>
  </si>
  <si>
    <t>докер-механизатор</t>
  </si>
  <si>
    <t>Командная работа по организации перевозочного процесса</t>
  </si>
  <si>
    <t>T95</t>
  </si>
  <si>
    <t>23.01.03</t>
  </si>
  <si>
    <t>автомеханик</t>
  </si>
  <si>
    <t>Командная работа по организации связи и передаче информации в полевых условиях</t>
  </si>
  <si>
    <t>V22</t>
  </si>
  <si>
    <t>23.01.04</t>
  </si>
  <si>
    <t>водитель городского электротранспорта</t>
  </si>
  <si>
    <t>Монтаж электрооборудования летательных аппаратов</t>
  </si>
  <si>
    <t>R83</t>
  </si>
  <si>
    <t>23.01.06</t>
  </si>
  <si>
    <t>машинист дорожных и строительных машин</t>
  </si>
  <si>
    <t>Продажи транспортно-логистических услуг</t>
  </si>
  <si>
    <t>V07</t>
  </si>
  <si>
    <t>23.01.07</t>
  </si>
  <si>
    <t>машинист крана (крановщик)</t>
  </si>
  <si>
    <t>Работа передвижных рельсосварочных самоходных машин</t>
  </si>
  <si>
    <t>V30</t>
  </si>
  <si>
    <t>23.01.08</t>
  </si>
  <si>
    <t>слесарь по ремонту строительных машин</t>
  </si>
  <si>
    <t>Сопровождение клиентов на транспорте</t>
  </si>
  <si>
    <t>V06</t>
  </si>
  <si>
    <t>23.01.09</t>
  </si>
  <si>
    <t>машинист локомотива</t>
  </si>
  <si>
    <t>Техническое администрирование проектов и мероприятий</t>
  </si>
  <si>
    <t>V48</t>
  </si>
  <si>
    <t>23.01.10</t>
  </si>
  <si>
    <t>слесарь по обслуживанию и ремонту подвижного состава</t>
  </si>
  <si>
    <t>Управление пассажирским транспортом</t>
  </si>
  <si>
    <t>R90</t>
  </si>
  <si>
    <t>23.01.11</t>
  </si>
  <si>
    <t>слесарь-электрик по ремонту электрооборудования подвижного состава (электровозов, электропоездов)</t>
  </si>
  <si>
    <t>Устройства, оборудование и элементы систем теплоснабжения</t>
  </si>
  <si>
    <t>V35</t>
  </si>
  <si>
    <t>23.01.12</t>
  </si>
  <si>
    <t>слесарь-электрик метрополитена</t>
  </si>
  <si>
    <t>Фронтенд-Разработчик</t>
  </si>
  <si>
    <t>V26</t>
  </si>
  <si>
    <t>23.01.13</t>
  </si>
  <si>
    <t>электромонтер тяговой подстанции</t>
  </si>
  <si>
    <t>Эксплуатация пассажирской инфраструктуры</t>
  </si>
  <si>
    <t>V34</t>
  </si>
  <si>
    <t>23.01.14</t>
  </si>
  <si>
    <t>электромонтер устройств сигнализации, централизации, блокировки (сцб)</t>
  </si>
  <si>
    <t>Слесарная деятельность по ремонту и обслуживанию дорожно-строительных машин и механизмов</t>
  </si>
  <si>
    <t>23.01.15</t>
  </si>
  <si>
    <t>оператор поста централизации</t>
  </si>
  <si>
    <t>23.01.16</t>
  </si>
  <si>
    <t>составитель поездов</t>
  </si>
  <si>
    <t>23.01.17</t>
  </si>
  <si>
    <t>мастер по ремонту и обслуживанию автомобилей</t>
  </si>
  <si>
    <t>23.02.01</t>
  </si>
  <si>
    <t>организация перевозок и управление на транспорте (по видам)</t>
  </si>
  <si>
    <t>23.02.02</t>
  </si>
  <si>
    <t>автомобиле- и тракторостроение</t>
  </si>
  <si>
    <t>23.02.03</t>
  </si>
  <si>
    <t>техническое обслуживание и ремонт автомобильного транспорта</t>
  </si>
  <si>
    <t>23.02.04</t>
  </si>
  <si>
    <t>техническая эксплуатация подъемно-транспортных, строительных, дорожных машин и оборудования (по отраслям)</t>
  </si>
  <si>
    <t>23.02.05</t>
  </si>
  <si>
    <t>эксплуатация транспортного электрооборудования и автоматики (по видам транспорта, за исключением водного)</t>
  </si>
  <si>
    <t>23.02.06</t>
  </si>
  <si>
    <t>техническая эксплуатация подвижного состава железных дорог</t>
  </si>
  <si>
    <t>23.02.07</t>
  </si>
  <si>
    <t>техническое обслуживание и ремонт двигателей, систем и агрегатов автомобилей</t>
  </si>
  <si>
    <t>24.01.01</t>
  </si>
  <si>
    <t>слесарь-сборщик авиационной техники</t>
  </si>
  <si>
    <t>24.01.02</t>
  </si>
  <si>
    <t>электромонтажник авиационной техники</t>
  </si>
  <si>
    <t>24.01.04</t>
  </si>
  <si>
    <t>слесарь по ремонту авиационной техники</t>
  </si>
  <si>
    <t>24.02.01</t>
  </si>
  <si>
    <t>производство летательных аппаратов</t>
  </si>
  <si>
    <t>24.02.02</t>
  </si>
  <si>
    <t>производство авиационных двигателей</t>
  </si>
  <si>
    <t>25.02.01</t>
  </si>
  <si>
    <t>техническая эксплуатация летательных аппаратов и двигателей</t>
  </si>
  <si>
    <t>25.02.02</t>
  </si>
  <si>
    <t>обслуживание летательных аппаратов горюче-смазочными материалами</t>
  </si>
  <si>
    <t>25.02.03</t>
  </si>
  <si>
    <t>техническая эксплуатация электрифицированных и пилотажно-навигационных комплексов</t>
  </si>
  <si>
    <t>25.02.04</t>
  </si>
  <si>
    <t>летная эксплуатация летательных аппаратов</t>
  </si>
  <si>
    <t>25.02.05</t>
  </si>
  <si>
    <t>управление движением воздушного транспорта</t>
  </si>
  <si>
    <t>25.02.06</t>
  </si>
  <si>
    <t>производство и обслуживание авиационной техники</t>
  </si>
  <si>
    <t>25.02.07</t>
  </si>
  <si>
    <t>техническое обслуживание авиационных двигателей</t>
  </si>
  <si>
    <t>25.02.08</t>
  </si>
  <si>
    <t>эксплуатация беспилотных авиационных систем</t>
  </si>
  <si>
    <t>26.01.01</t>
  </si>
  <si>
    <t>судостроитель-судоремонтник металлических судов</t>
  </si>
  <si>
    <t>26.01.02</t>
  </si>
  <si>
    <t>судостроитель-судоремонтник неметаллических судов</t>
  </si>
  <si>
    <t>26.01.03</t>
  </si>
  <si>
    <t>слесарь-монтажник судовой</t>
  </si>
  <si>
    <t>26.01.05</t>
  </si>
  <si>
    <t>электрорадиомонтажник судовой</t>
  </si>
  <si>
    <t>26.01.06</t>
  </si>
  <si>
    <t>судоводитель-помощник механика маломерного судна</t>
  </si>
  <si>
    <t>26.01.07</t>
  </si>
  <si>
    <t>матрос</t>
  </si>
  <si>
    <t>26.01.08</t>
  </si>
  <si>
    <t>моторист (машинист)</t>
  </si>
  <si>
    <t>26.01.09</t>
  </si>
  <si>
    <t>моторист судовой</t>
  </si>
  <si>
    <t>26.01.10</t>
  </si>
  <si>
    <t>механик маломерного судна</t>
  </si>
  <si>
    <t>26.01.12</t>
  </si>
  <si>
    <t>электрик судовой</t>
  </si>
  <si>
    <t>26.01.13</t>
  </si>
  <si>
    <t>водолаз</t>
  </si>
  <si>
    <t>26.02.01</t>
  </si>
  <si>
    <t>эксплуатация внутренних водных путей</t>
  </si>
  <si>
    <t>26.02.02</t>
  </si>
  <si>
    <t>судостроение</t>
  </si>
  <si>
    <t>26.02.03</t>
  </si>
  <si>
    <t>судовождение</t>
  </si>
  <si>
    <t>26.02.04</t>
  </si>
  <si>
    <t>монтаж и техническое обслуживание судовых машин и механизмов</t>
  </si>
  <si>
    <t>26.02.05</t>
  </si>
  <si>
    <t>эксплуатация судовых энергетических установок</t>
  </si>
  <si>
    <t>26.02.06</t>
  </si>
  <si>
    <t>эксплуатация судового электрооборудования и средств автоматики</t>
  </si>
  <si>
    <t>27.02.01</t>
  </si>
  <si>
    <t>метрология</t>
  </si>
  <si>
    <t>27.02.02</t>
  </si>
  <si>
    <t>техническое регулирование и управление качеством</t>
  </si>
  <si>
    <t>27.02.03</t>
  </si>
  <si>
    <t>автоматика и телемеханика на транспорте (железнодорожном транспорте)планируется перевести специальность в угпс 23.00.00</t>
  </si>
  <si>
    <t>27.02.04</t>
  </si>
  <si>
    <t>автоматические системы управления</t>
  </si>
  <si>
    <t>27.02.05</t>
  </si>
  <si>
    <t>системы и средства диспетчерского управления</t>
  </si>
  <si>
    <t>27.02.06</t>
  </si>
  <si>
    <t>контроль работы измерительных приборов</t>
  </si>
  <si>
    <t>27.02.07</t>
  </si>
  <si>
    <t>управление качеством продукции, процессов и услуг (по отраслям)</t>
  </si>
  <si>
    <t>29.01.01</t>
  </si>
  <si>
    <t>скорняк</t>
  </si>
  <si>
    <t>29.01.02</t>
  </si>
  <si>
    <t>обувщик (широкого профиля)</t>
  </si>
  <si>
    <t>29.01.03</t>
  </si>
  <si>
    <t>сборщик обуви</t>
  </si>
  <si>
    <t>29.01.04</t>
  </si>
  <si>
    <t>художник по костюму</t>
  </si>
  <si>
    <t>29.01.05</t>
  </si>
  <si>
    <t>закройщик</t>
  </si>
  <si>
    <t>29.01.07</t>
  </si>
  <si>
    <t>портной</t>
  </si>
  <si>
    <t>29.01.08</t>
  </si>
  <si>
    <t>оператор швейного оборудования</t>
  </si>
  <si>
    <t>29.01.09</t>
  </si>
  <si>
    <t>вышивальщица</t>
  </si>
  <si>
    <t>29.01.10</t>
  </si>
  <si>
    <t>модистка головных уборов</t>
  </si>
  <si>
    <t>29.01.16</t>
  </si>
  <si>
    <t>ткач</t>
  </si>
  <si>
    <t>29.01.17</t>
  </si>
  <si>
    <t>оператор вязально-швейного оборудования</t>
  </si>
  <si>
    <t>29.01.24</t>
  </si>
  <si>
    <t>оператор электронного набора и верстки</t>
  </si>
  <si>
    <t>29.01.25</t>
  </si>
  <si>
    <t>переплетчик</t>
  </si>
  <si>
    <t>29.01.26</t>
  </si>
  <si>
    <t>печатник плоской печати</t>
  </si>
  <si>
    <t>29.01.27</t>
  </si>
  <si>
    <t>мастер печатного дела</t>
  </si>
  <si>
    <t>29.01.28</t>
  </si>
  <si>
    <t>огранщик алмазов в бриллианты</t>
  </si>
  <si>
    <t>29.01.29</t>
  </si>
  <si>
    <t>мастер столярного и мебельного производства</t>
  </si>
  <si>
    <t>29.02.01</t>
  </si>
  <si>
    <t>конструирование, моделирование и технология изделий из кожи</t>
  </si>
  <si>
    <t>29.02.02</t>
  </si>
  <si>
    <t>технология кожи и меха</t>
  </si>
  <si>
    <t>29.02.03</t>
  </si>
  <si>
    <t>конструирование, моделирование и технология изделий из меха</t>
  </si>
  <si>
    <t>29.02.04</t>
  </si>
  <si>
    <t>конструирование, моделирование и технология швейных изделии</t>
  </si>
  <si>
    <t>29.02.05</t>
  </si>
  <si>
    <t>технология текстильных изделий (по видам)</t>
  </si>
  <si>
    <t>29.02.06</t>
  </si>
  <si>
    <t>полиграфическое производство</t>
  </si>
  <si>
    <t>29.02.07</t>
  </si>
  <si>
    <t>производство изделий из бумаги и картона</t>
  </si>
  <si>
    <t>29.02.08</t>
  </si>
  <si>
    <t>технология обработки алмазов</t>
  </si>
  <si>
    <t>29.02.09</t>
  </si>
  <si>
    <t>печатное дело</t>
  </si>
  <si>
    <t>31.02.01</t>
  </si>
  <si>
    <t>лечебное дело</t>
  </si>
  <si>
    <t>31.02.02</t>
  </si>
  <si>
    <t>акушерское дело</t>
  </si>
  <si>
    <t>31.02.03</t>
  </si>
  <si>
    <t>лабораторная диагностика</t>
  </si>
  <si>
    <t>31.02.04</t>
  </si>
  <si>
    <t>медицинская оптика</t>
  </si>
  <si>
    <t>31.02.05</t>
  </si>
  <si>
    <t>стоматология ортопедическая</t>
  </si>
  <si>
    <t>31.02.06</t>
  </si>
  <si>
    <t>стоматология профилактическая</t>
  </si>
  <si>
    <t>32.02.01</t>
  </si>
  <si>
    <t>медико-профилактическое дело</t>
  </si>
  <si>
    <t>33.02.01</t>
  </si>
  <si>
    <t>фармация</t>
  </si>
  <si>
    <t>34.01.01</t>
  </si>
  <si>
    <t>младшая медицинская сестра по уходу за больными</t>
  </si>
  <si>
    <t>34.02.01</t>
  </si>
  <si>
    <t>сестринское дело</t>
  </si>
  <si>
    <t>34.02.02</t>
  </si>
  <si>
    <t>медицинский массаж (для обучения лиц с ограниченными возможностями здоровья по зрению)</t>
  </si>
  <si>
    <t>35.01.01</t>
  </si>
  <si>
    <t>мастер по лесному хозяйству</t>
  </si>
  <si>
    <t>35.01.02</t>
  </si>
  <si>
    <t>станочник деревообрабатывающих станков</t>
  </si>
  <si>
    <t>35.01.03</t>
  </si>
  <si>
    <t>станочник-обработчик</t>
  </si>
  <si>
    <t>35.01.04</t>
  </si>
  <si>
    <t>оператор линии и установок в деревообработке</t>
  </si>
  <si>
    <t>35.01.05</t>
  </si>
  <si>
    <t>контролер полуфабрикатов и изделий из древесины</t>
  </si>
  <si>
    <t>35.01.06</t>
  </si>
  <si>
    <t>машинист машин по производству бумаги и картона</t>
  </si>
  <si>
    <t>35.01.09</t>
  </si>
  <si>
    <t>мастер растениеводства</t>
  </si>
  <si>
    <t>35.01.10</t>
  </si>
  <si>
    <t>овощевод защищенного грунта</t>
  </si>
  <si>
    <t>35.01.11</t>
  </si>
  <si>
    <t>мастер сельскохозяйственного производства</t>
  </si>
  <si>
    <t>35.01.12</t>
  </si>
  <si>
    <t>заготовитель продуктов и сырья</t>
  </si>
  <si>
    <t>35.01.13</t>
  </si>
  <si>
    <t>тракторист-машинист сельскохозяйственного производства</t>
  </si>
  <si>
    <t>35.01.14</t>
  </si>
  <si>
    <t>мастер по техническому обслуживанию и ремонту машинно-тракторного парка</t>
  </si>
  <si>
    <t>35.01.15</t>
  </si>
  <si>
    <t>электромонтер по ремонту и обслуживанию электрооборудования в сельскохозяйственном производстве</t>
  </si>
  <si>
    <t>35.01.16</t>
  </si>
  <si>
    <t>рыбовод</t>
  </si>
  <si>
    <t>35.01.17</t>
  </si>
  <si>
    <t>обработчик рыбы и морепродуктов</t>
  </si>
  <si>
    <t>35.01.19</t>
  </si>
  <si>
    <t>мастер садово-паркового и ландшафтного строительства</t>
  </si>
  <si>
    <t>35.01.20</t>
  </si>
  <si>
    <t>пчеловод</t>
  </si>
  <si>
    <t>35.01.21</t>
  </si>
  <si>
    <t>оленевод-механизатор</t>
  </si>
  <si>
    <t>35.01.23</t>
  </si>
  <si>
    <t>хозяйка(ин) усадьбы</t>
  </si>
  <si>
    <t>35.01.24</t>
  </si>
  <si>
    <t>управляющий сельской усадьбой</t>
  </si>
  <si>
    <t>35.02.01</t>
  </si>
  <si>
    <t>лесное и лесопарковое хозяйство</t>
  </si>
  <si>
    <t>35.02.02</t>
  </si>
  <si>
    <t>технология лесозаготовок</t>
  </si>
  <si>
    <t>35.02.03</t>
  </si>
  <si>
    <t>технология деревообработки</t>
  </si>
  <si>
    <t>35.02.04</t>
  </si>
  <si>
    <t>технология комплексной переработки древесины</t>
  </si>
  <si>
    <t>35.02.05</t>
  </si>
  <si>
    <t>агрономия</t>
  </si>
  <si>
    <t>35.02.06</t>
  </si>
  <si>
    <t>технология производства и переработки сельскохозяйственной продукции</t>
  </si>
  <si>
    <t>35.02.07</t>
  </si>
  <si>
    <t>механизация сельского хозяйства</t>
  </si>
  <si>
    <t>35.02.08</t>
  </si>
  <si>
    <t>электрификация и автоматизация сельского хозяйства</t>
  </si>
  <si>
    <t>35.02.09</t>
  </si>
  <si>
    <t>ихтиология и рыбоводство</t>
  </si>
  <si>
    <t>35.02.10</t>
  </si>
  <si>
    <t>обработка водных биоресурсов</t>
  </si>
  <si>
    <t>35.02.11</t>
  </si>
  <si>
    <t>промышленное рыболовство</t>
  </si>
  <si>
    <t>35.02.12</t>
  </si>
  <si>
    <t>садово-парковое и ландшафтное строительство</t>
  </si>
  <si>
    <t>35.02.13</t>
  </si>
  <si>
    <t>пчеловодство</t>
  </si>
  <si>
    <t>35.02.14</t>
  </si>
  <si>
    <t>охотоведение и звероводство</t>
  </si>
  <si>
    <t>35.02.15</t>
  </si>
  <si>
    <t>кинология</t>
  </si>
  <si>
    <t>35.02.16</t>
  </si>
  <si>
    <t>эксплуатация и ремонт сельскохозяйственной техники и оборудования</t>
  </si>
  <si>
    <t>36.01.01</t>
  </si>
  <si>
    <t>младший ветеринарный фельдшер</t>
  </si>
  <si>
    <t>36.01.02</t>
  </si>
  <si>
    <t>мастер животноводства</t>
  </si>
  <si>
    <t>36.01.03</t>
  </si>
  <si>
    <t>тренер-наездник лошадей</t>
  </si>
  <si>
    <t>36.02.01</t>
  </si>
  <si>
    <t>ветеринария</t>
  </si>
  <si>
    <t>36.02.02</t>
  </si>
  <si>
    <t>зоотехния</t>
  </si>
  <si>
    <t>38.01.01</t>
  </si>
  <si>
    <t>оператор диспетчерской (производственно-диспетчерской) службы</t>
  </si>
  <si>
    <t>38.01.02</t>
  </si>
  <si>
    <t>продавец, контролер-кассир</t>
  </si>
  <si>
    <t>38.01.03</t>
  </si>
  <si>
    <t>контролер банка</t>
  </si>
  <si>
    <t>38.02.01</t>
  </si>
  <si>
    <t>экономика и бухгалтерский учет (по отраслям)</t>
  </si>
  <si>
    <t>38.02.02</t>
  </si>
  <si>
    <t>страховое дело (по отраслям)</t>
  </si>
  <si>
    <t>38.02.03</t>
  </si>
  <si>
    <t>операционная деятельность в логистике</t>
  </si>
  <si>
    <t>38.02.04</t>
  </si>
  <si>
    <t>коммерция (по отраслям)</t>
  </si>
  <si>
    <t>38.02.05</t>
  </si>
  <si>
    <t>товароведение и экспертиза качества потребительских товаров</t>
  </si>
  <si>
    <t>38.02.06</t>
  </si>
  <si>
    <t>финансы</t>
  </si>
  <si>
    <t>38.02.07</t>
  </si>
  <si>
    <t>банковское дело</t>
  </si>
  <si>
    <t>39.01.01</t>
  </si>
  <si>
    <t>социальный работник</t>
  </si>
  <si>
    <t>39.02.01</t>
  </si>
  <si>
    <t>социальная работа</t>
  </si>
  <si>
    <t>39.02.02</t>
  </si>
  <si>
    <t>организация сурдокоммуникации</t>
  </si>
  <si>
    <t>40.02.01</t>
  </si>
  <si>
    <t>право и организация социального обеспечения</t>
  </si>
  <si>
    <t>40.02.02</t>
  </si>
  <si>
    <t>правоохранительная деятельность</t>
  </si>
  <si>
    <t>40.02.03</t>
  </si>
  <si>
    <t>право и судебное администрирование</t>
  </si>
  <si>
    <t>42.01.01</t>
  </si>
  <si>
    <t>агент рекламный</t>
  </si>
  <si>
    <t>42.02.01</t>
  </si>
  <si>
    <t>реклама</t>
  </si>
  <si>
    <t>42.02.02</t>
  </si>
  <si>
    <t>издательское дело</t>
  </si>
  <si>
    <t>43.01.01</t>
  </si>
  <si>
    <t>официант, бармен</t>
  </si>
  <si>
    <t>43.01.02</t>
  </si>
  <si>
    <t>парикмахер</t>
  </si>
  <si>
    <t>43.01.03</t>
  </si>
  <si>
    <t>бортпроводник судовой</t>
  </si>
  <si>
    <t>43.01.04</t>
  </si>
  <si>
    <t>повар судовой</t>
  </si>
  <si>
    <t>43.01.05</t>
  </si>
  <si>
    <t>оператор по обработке перевозочных документов на железнодорожном транспорте</t>
  </si>
  <si>
    <t>43.01.06</t>
  </si>
  <si>
    <t>проводник на железнодорожном транспорте</t>
  </si>
  <si>
    <t>43.01.07</t>
  </si>
  <si>
    <t>слесарь по эксплуатации и ремонту газового оборудования</t>
  </si>
  <si>
    <t>43.01.09</t>
  </si>
  <si>
    <t>повар, кондитер</t>
  </si>
  <si>
    <t>43.02.01</t>
  </si>
  <si>
    <t>организация обслуживания в общественном питании</t>
  </si>
  <si>
    <t>43.02.02</t>
  </si>
  <si>
    <t>парикмахерское искусство</t>
  </si>
  <si>
    <t>43.02.03</t>
  </si>
  <si>
    <t>стилистика и искусство визажа</t>
  </si>
  <si>
    <t>43.02.04</t>
  </si>
  <si>
    <t>прикладная эстетика</t>
  </si>
  <si>
    <t>43.02.05</t>
  </si>
  <si>
    <t>флористика</t>
  </si>
  <si>
    <t>43.02.06</t>
  </si>
  <si>
    <t>сервис на транспорте (по видам транспорта)</t>
  </si>
  <si>
    <t>43.02.07</t>
  </si>
  <si>
    <t>сервис по химической обработке изделии</t>
  </si>
  <si>
    <t>43.02.08</t>
  </si>
  <si>
    <t>сервис домашнего и коммунального хозяйства</t>
  </si>
  <si>
    <t>43.02.10</t>
  </si>
  <si>
    <t>туризм</t>
  </si>
  <si>
    <t>43.02.11</t>
  </si>
  <si>
    <t>гостиничный сервис</t>
  </si>
  <si>
    <t>43.02.12</t>
  </si>
  <si>
    <t>технология эстетических услуг</t>
  </si>
  <si>
    <t>43.02.13</t>
  </si>
  <si>
    <t>технология парикмахерского искусства</t>
  </si>
  <si>
    <t>43.02.14</t>
  </si>
  <si>
    <t>гостиничное дело</t>
  </si>
  <si>
    <t>43.02.15</t>
  </si>
  <si>
    <t>поварское и кондитерское дело</t>
  </si>
  <si>
    <t>44.02.01</t>
  </si>
  <si>
    <t>дошкольное образование</t>
  </si>
  <si>
    <t>44.02.02</t>
  </si>
  <si>
    <t>преподавание в начальных классах</t>
  </si>
  <si>
    <t>44.02.03</t>
  </si>
  <si>
    <t>педагогика дополнительного образования</t>
  </si>
  <si>
    <t>44.02.04</t>
  </si>
  <si>
    <t>специальное дошкольное образование</t>
  </si>
  <si>
    <t>44.02.05</t>
  </si>
  <si>
    <t>коррекционная педагогика в начальном образовании</t>
  </si>
  <si>
    <t>44.02.06</t>
  </si>
  <si>
    <t>профессиональное обучение (по отраслям)</t>
  </si>
  <si>
    <t>46.01.01</t>
  </si>
  <si>
    <t>секретарь</t>
  </si>
  <si>
    <t>46.01.02</t>
  </si>
  <si>
    <t>архивариус</t>
  </si>
  <si>
    <t>46.01.03</t>
  </si>
  <si>
    <t>делопроизводитель</t>
  </si>
  <si>
    <t>46.02.01</t>
  </si>
  <si>
    <t>документационное обеспечение управления и архивоведение</t>
  </si>
  <si>
    <t>49.02.01</t>
  </si>
  <si>
    <t>физическая культура</t>
  </si>
  <si>
    <t>49.02.02</t>
  </si>
  <si>
    <t>адаптивная физическая культура</t>
  </si>
  <si>
    <t>49.02.03</t>
  </si>
  <si>
    <t>спорт</t>
  </si>
  <si>
    <t>50.02.01</t>
  </si>
  <si>
    <t>мировая художественная культура</t>
  </si>
  <si>
    <t>51.02.01</t>
  </si>
  <si>
    <t>народное художественное творчество (по видам)</t>
  </si>
  <si>
    <t>51.02.02</t>
  </si>
  <si>
    <t>социально-культурная деятельность (по видам)</t>
  </si>
  <si>
    <t>51.02.03</t>
  </si>
  <si>
    <t>библиотековедение</t>
  </si>
  <si>
    <t>52.02.01</t>
  </si>
  <si>
    <t>искусство балета</t>
  </si>
  <si>
    <t>52.02.02</t>
  </si>
  <si>
    <t>искусство танца (по видам)</t>
  </si>
  <si>
    <t>52.02.03</t>
  </si>
  <si>
    <t>цирковое искусство</t>
  </si>
  <si>
    <t>52.02.04</t>
  </si>
  <si>
    <t>актерское искусство</t>
  </si>
  <si>
    <t>52.02.05</t>
  </si>
  <si>
    <t>искусство эстрады</t>
  </si>
  <si>
    <t>53.01.01</t>
  </si>
  <si>
    <t>мастер по ремонту и обслуживанию музыкальных инструментов</t>
  </si>
  <si>
    <t>53.02.01</t>
  </si>
  <si>
    <t>музыкальное образование</t>
  </si>
  <si>
    <t>53.02.02</t>
  </si>
  <si>
    <t>музыкальное искусство эстрады (по видам)</t>
  </si>
  <si>
    <t>53.02.03</t>
  </si>
  <si>
    <t>инструментальное исполнительство (по видам инструментов)</t>
  </si>
  <si>
    <t>53.02.04</t>
  </si>
  <si>
    <t>вокальное искусство</t>
  </si>
  <si>
    <t>53.02.05</t>
  </si>
  <si>
    <t>сольное и хоровое народное пение</t>
  </si>
  <si>
    <t>53.02.06</t>
  </si>
  <si>
    <t>хоровое дирижирование с присвоением квалификаций хормейстер, преподаватель</t>
  </si>
  <si>
    <t>53.02.07</t>
  </si>
  <si>
    <t>теория музыки</t>
  </si>
  <si>
    <t>53.02.08</t>
  </si>
  <si>
    <t>музыкальное звукооператорское мастерство</t>
  </si>
  <si>
    <t>53.02.09</t>
  </si>
  <si>
    <t>театрально-декорационное искусство (по видам)</t>
  </si>
  <si>
    <t>54.01.01</t>
  </si>
  <si>
    <t>исполнитель художественно-оформительских работ</t>
  </si>
  <si>
    <t>54.01.02</t>
  </si>
  <si>
    <t>ювелир</t>
  </si>
  <si>
    <t>54.01.03</t>
  </si>
  <si>
    <t>фотограф</t>
  </si>
  <si>
    <t>54.01.04</t>
  </si>
  <si>
    <t>мастер народных художественных промыслов</t>
  </si>
  <si>
    <t>54.01.05</t>
  </si>
  <si>
    <t>изготовитель художественных изделий из тканей с художественной росписью</t>
  </si>
  <si>
    <t>54.01.06</t>
  </si>
  <si>
    <t>изготовитель художественных изделий из металла</t>
  </si>
  <si>
    <t>54.01.07</t>
  </si>
  <si>
    <t>изготовитель художественных изделий из керамики</t>
  </si>
  <si>
    <t>54.01.10</t>
  </si>
  <si>
    <t>художник росписи по дереву</t>
  </si>
  <si>
    <t>54.01.11</t>
  </si>
  <si>
    <t>художник росписи по ткани</t>
  </si>
  <si>
    <t>54.01.12</t>
  </si>
  <si>
    <t>художник миниатюрной живописи</t>
  </si>
  <si>
    <t>54.01.13</t>
  </si>
  <si>
    <t>изготовитель художественных изделий из дерева</t>
  </si>
  <si>
    <t>54.01.14</t>
  </si>
  <si>
    <t>резчик</t>
  </si>
  <si>
    <t>54.01.16</t>
  </si>
  <si>
    <t>лепщик-модельщик архитектурных деталей</t>
  </si>
  <si>
    <t>54.01.17</t>
  </si>
  <si>
    <t>реставратор строительный</t>
  </si>
  <si>
    <t>54.01.19</t>
  </si>
  <si>
    <t>реставратор памятников каменного и деревянного зодчества</t>
  </si>
  <si>
    <t>54.01.20</t>
  </si>
  <si>
    <t>графический дизайнер</t>
  </si>
  <si>
    <t>54.02.01</t>
  </si>
  <si>
    <t>дизайн (по отраслям)</t>
  </si>
  <si>
    <t>54.02.02</t>
  </si>
  <si>
    <t>декоративно-прикладное искусство и народные промыслы (по видам)</t>
  </si>
  <si>
    <t>54.02.03</t>
  </si>
  <si>
    <t>художественное оформление изделий текстильной и легкой промышленности</t>
  </si>
  <si>
    <t>54.02.04</t>
  </si>
  <si>
    <t>реставрация</t>
  </si>
  <si>
    <t>54.02.05</t>
  </si>
  <si>
    <t>живопись с присвоением квалификаций художник-живописец, преподаватель</t>
  </si>
  <si>
    <t>54.02.06</t>
  </si>
  <si>
    <t>изобразительное искусство и черчение</t>
  </si>
  <si>
    <t>54.02.07</t>
  </si>
  <si>
    <t>скульптура</t>
  </si>
  <si>
    <t>54.02.08</t>
  </si>
  <si>
    <t>техника и искусство фотографии</t>
  </si>
  <si>
    <t>55.02.01</t>
  </si>
  <si>
    <t>театральная и аудиовизуальная техника (по видам)</t>
  </si>
  <si>
    <t>55.02.02</t>
  </si>
  <si>
    <t>анимация (по видам)</t>
  </si>
  <si>
    <t>57.02.01</t>
  </si>
  <si>
    <t>пограничная деятельность (по видам деятельности)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</si>
</sst>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charset val="1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Inconsolata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FCC99"/>
      </patternFill>
    </fill>
    <fill>
      <patternFill patternType="solid">
        <fgColor rgb="FF92D050"/>
        <bgColor rgb="FFC0C0C0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CE5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wrapText="1"/>
    </xf>
    <xf numFmtId="49" fontId="1" fillId="0" borderId="0" xfId="0" applyNumberFormat="1" applyFont="1" applyAlignment="1" applyProtection="1">
      <alignment horizontal="left" vertical="center" wrapText="1"/>
    </xf>
    <xf numFmtId="49" fontId="2" fillId="0" borderId="0" xfId="0" applyNumberFormat="1" applyFont="1" applyAlignment="1" applyProtection="1">
      <alignment horizontal="left" vertical="center" wrapText="1"/>
    </xf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right" vertical="center" wrapText="1"/>
    </xf>
    <xf numFmtId="4" fontId="1" fillId="0" borderId="0" xfId="0" applyNumberFormat="1" applyFont="1" applyAlignment="1" applyProtection="1">
      <alignment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vertical="center" wrapText="1"/>
    </xf>
    <xf numFmtId="0" fontId="1" fillId="3" borderId="0" xfId="0" applyFont="1" applyFill="1" applyAlignment="1" applyProtection="1">
      <alignment vertical="center" wrapText="1"/>
    </xf>
    <xf numFmtId="0" fontId="3" fillId="0" borderId="1" xfId="0" applyFont="1" applyBorder="1" applyAlignment="1" applyProtection="1">
      <alignment horizontal="left" vertical="center"/>
    </xf>
    <xf numFmtId="49" fontId="1" fillId="0" borderId="1" xfId="0" applyNumberFormat="1" applyFont="1" applyBorder="1" applyAlignment="1" applyProtection="1">
      <alignment horizontal="center" vertical="center" wrapText="1"/>
    </xf>
    <xf numFmtId="4" fontId="1" fillId="3" borderId="0" xfId="0" applyNumberFormat="1" applyFont="1" applyFill="1" applyAlignment="1" applyProtection="1">
      <alignment horizontal="right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 wrapText="1"/>
    </xf>
    <xf numFmtId="4" fontId="1" fillId="3" borderId="1" xfId="0" applyNumberFormat="1" applyFont="1" applyFill="1" applyBorder="1" applyAlignment="1" applyProtection="1">
      <alignment horizontal="center" vertical="center" wrapText="1"/>
    </xf>
    <xf numFmtId="4" fontId="1" fillId="3" borderId="0" xfId="0" applyNumberFormat="1" applyFont="1" applyFill="1" applyAlignment="1" applyProtection="1">
      <alignment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4" fontId="1" fillId="5" borderId="2" xfId="0" applyNumberFormat="1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4" fontId="5" fillId="4" borderId="2" xfId="0" applyNumberFormat="1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left" vertical="center" wrapText="1"/>
    </xf>
    <xf numFmtId="4" fontId="1" fillId="5" borderId="1" xfId="0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/>
    <xf numFmtId="49" fontId="7" fillId="0" borderId="1" xfId="0" applyNumberFormat="1" applyFont="1" applyBorder="1" applyAlignment="1" applyProtection="1"/>
    <xf numFmtId="49" fontId="7" fillId="0" borderId="0" xfId="0" applyNumberFormat="1" applyFont="1" applyAlignment="1" applyProtection="1"/>
    <xf numFmtId="49" fontId="8" fillId="0" borderId="1" xfId="0" applyNumberFormat="1" applyFont="1" applyBorder="1" applyAlignment="1" applyProtection="1">
      <alignment horizontal="center" wrapText="1"/>
    </xf>
    <xf numFmtId="49" fontId="8" fillId="0" borderId="1" xfId="0" applyNumberFormat="1" applyFont="1" applyBorder="1" applyAlignment="1" applyProtection="1">
      <alignment horizontal="center"/>
    </xf>
    <xf numFmtId="49" fontId="7" fillId="0" borderId="0" xfId="0" applyNumberFormat="1" applyFont="1" applyAlignment="1" applyProtection="1">
      <alignment horizontal="right"/>
    </xf>
    <xf numFmtId="49" fontId="9" fillId="6" borderId="1" xfId="0" applyNumberFormat="1" applyFont="1" applyFill="1" applyBorder="1" applyAlignment="1" applyProtection="1"/>
    <xf numFmtId="49" fontId="7" fillId="6" borderId="0" xfId="0" applyNumberFormat="1" applyFont="1" applyFill="1" applyAlignment="1" applyProtection="1"/>
    <xf numFmtId="0" fontId="10" fillId="0" borderId="1" xfId="0" applyFont="1" applyBorder="1" applyAlignment="1" applyProtection="1">
      <alignment wrapText="1"/>
    </xf>
    <xf numFmtId="0" fontId="11" fillId="0" borderId="1" xfId="0" applyFont="1" applyBorder="1" applyAlignment="1" applyProtection="1"/>
    <xf numFmtId="49" fontId="7" fillId="0" borderId="1" xfId="0" applyNumberFormat="1" applyFont="1" applyBorder="1" applyAlignment="1" applyProtection="1">
      <alignment horizontal="center" wrapText="1"/>
    </xf>
    <xf numFmtId="49" fontId="7" fillId="0" borderId="1" xfId="0" applyNumberFormat="1" applyFont="1" applyBorder="1" applyAlignment="1" applyProtection="1">
      <alignment horizontal="right"/>
    </xf>
    <xf numFmtId="0" fontId="11" fillId="5" borderId="1" xfId="0" applyFont="1" applyFill="1" applyBorder="1" applyAlignment="1" applyProtection="1"/>
    <xf numFmtId="0" fontId="10" fillId="0" borderId="0" xfId="0" applyFont="1" applyAlignment="1" applyProtection="1">
      <alignment wrapText="1"/>
    </xf>
    <xf numFmtId="2" fontId="1" fillId="0" borderId="0" xfId="0" applyNumberFormat="1" applyFont="1" applyAlignment="1" applyProtection="1">
      <alignment vertical="center" wrapText="1"/>
    </xf>
    <xf numFmtId="2" fontId="2" fillId="3" borderId="1" xfId="0" applyNumberFormat="1" applyFont="1" applyFill="1" applyBorder="1" applyAlignment="1" applyProtection="1">
      <alignment horizontal="center" vertical="center" wrapText="1"/>
    </xf>
    <xf numFmtId="2" fontId="1" fillId="3" borderId="0" xfId="0" applyNumberFormat="1" applyFont="1" applyFill="1" applyAlignment="1" applyProtection="1">
      <alignment horizontal="center" vertical="center" wrapText="1"/>
    </xf>
    <xf numFmtId="2" fontId="1" fillId="3" borderId="1" xfId="0" applyNumberFormat="1" applyFont="1" applyFill="1" applyBorder="1" applyAlignment="1" applyProtection="1">
      <alignment horizontal="center" vertical="center" wrapText="1"/>
    </xf>
    <xf numFmtId="2" fontId="1" fillId="0" borderId="0" xfId="0" applyNumberFormat="1" applyFont="1" applyAlignment="1" applyProtection="1">
      <alignment wrapText="1"/>
    </xf>
    <xf numFmtId="2" fontId="1" fillId="0" borderId="0" xfId="0" applyNumberFormat="1" applyFont="1" applyAlignment="1" applyProtection="1">
      <alignment horizontal="center" vertical="center" wrapText="1"/>
    </xf>
    <xf numFmtId="2" fontId="1" fillId="3" borderId="1" xfId="0" applyNumberFormat="1" applyFont="1" applyFill="1" applyBorder="1" applyAlignment="1" applyProtection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'Приложение КОД КО'!$H$101:$H$104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'Приложение КОД КО'!$I$101:$I$104</c:f>
              <c:numCache>
                <c:formatCode>#,##0.00</c:formatCode>
                <c:ptCount val="4"/>
                <c:pt idx="0">
                  <c:v>0.5</c:v>
                </c:pt>
                <c:pt idx="1">
                  <c:v>0.5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423224"/>
        <c:axId val="408418912"/>
      </c:barChart>
      <c:catAx>
        <c:axId val="408423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8418912"/>
        <c:crosses val="autoZero"/>
        <c:auto val="1"/>
        <c:lblAlgn val="ctr"/>
        <c:lblOffset val="100"/>
        <c:noMultiLvlLbl val="0"/>
      </c:catAx>
      <c:valAx>
        <c:axId val="40841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842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149" cy="6019407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0"/>
  <sheetViews>
    <sheetView tabSelected="1" topLeftCell="C1" zoomScaleNormal="100" workbookViewId="0">
      <selection activeCell="L142" sqref="L142"/>
    </sheetView>
  </sheetViews>
  <sheetFormatPr defaultColWidth="14.42578125" defaultRowHeight="12.75"/>
  <cols>
    <col min="1" max="1" width="9.5703125" style="1" customWidth="1"/>
    <col min="2" max="2" width="34.42578125" style="1" customWidth="1"/>
    <col min="3" max="3" width="12" style="1" customWidth="1"/>
    <col min="4" max="4" width="43.85546875" style="1" customWidth="1"/>
    <col min="5" max="5" width="10.42578125" style="1" customWidth="1"/>
    <col min="6" max="6" width="41.42578125" style="1" customWidth="1"/>
    <col min="7" max="7" width="14.42578125" style="1"/>
    <col min="8" max="9" width="11.85546875" style="1" customWidth="1"/>
    <col min="10" max="12" width="14.42578125" style="44"/>
    <col min="13" max="14" width="4" style="1" customWidth="1"/>
    <col min="15" max="18" width="14.42578125" style="1"/>
    <col min="19" max="19" width="4" style="1" customWidth="1"/>
    <col min="20" max="16384" width="14.42578125" style="1"/>
  </cols>
  <sheetData>
    <row r="1" spans="1:22">
      <c r="A1" s="2"/>
      <c r="B1" s="3"/>
      <c r="C1" s="3"/>
      <c r="D1" s="4"/>
      <c r="E1" s="5"/>
      <c r="F1" s="6"/>
      <c r="G1" s="4"/>
      <c r="H1" s="4"/>
      <c r="I1" s="4"/>
      <c r="J1" s="40"/>
      <c r="K1" s="40"/>
      <c r="L1" s="40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4"/>
      <c r="B2" s="4"/>
      <c r="C2" s="8" t="s">
        <v>0</v>
      </c>
      <c r="D2" s="9" t="s">
        <v>1</v>
      </c>
      <c r="E2" s="5"/>
      <c r="F2" s="4"/>
      <c r="G2" s="4"/>
      <c r="H2" s="4"/>
      <c r="I2" s="4"/>
      <c r="J2" s="40"/>
      <c r="K2" s="40"/>
      <c r="L2" s="40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4"/>
      <c r="B3" s="4"/>
      <c r="C3" s="8" t="s">
        <v>2</v>
      </c>
      <c r="D3" s="9" t="s">
        <v>3</v>
      </c>
      <c r="E3" s="5"/>
      <c r="F3" s="4"/>
      <c r="G3" s="4"/>
      <c r="H3" s="4"/>
      <c r="I3" s="4"/>
      <c r="J3" s="40"/>
      <c r="K3" s="40"/>
      <c r="L3" s="40"/>
      <c r="M3" s="4"/>
      <c r="N3" s="4"/>
      <c r="O3" s="10"/>
      <c r="P3" s="10" t="s">
        <v>4</v>
      </c>
      <c r="Q3" s="10" t="s">
        <v>5</v>
      </c>
      <c r="R3" s="10" t="s">
        <v>6</v>
      </c>
      <c r="S3" s="4"/>
      <c r="T3" s="10" t="s">
        <v>7</v>
      </c>
      <c r="U3" s="10" t="s">
        <v>6</v>
      </c>
      <c r="V3" s="4"/>
    </row>
    <row r="4" spans="1:22" ht="15.75">
      <c r="A4" s="4"/>
      <c r="B4" s="4"/>
      <c r="C4" s="11" t="s">
        <v>8</v>
      </c>
      <c r="D4" s="12"/>
      <c r="E4" s="4"/>
      <c r="F4" s="4"/>
      <c r="G4" s="4"/>
      <c r="H4" s="5"/>
      <c r="I4" s="4"/>
      <c r="J4" s="40"/>
      <c r="K4" s="40"/>
      <c r="L4" s="40"/>
      <c r="M4" s="4"/>
      <c r="N4" s="4"/>
      <c r="O4" s="10" t="s">
        <v>9</v>
      </c>
      <c r="P4" s="13">
        <f>IFERROR(SUMIF($C$19:$C$50,"O",$I$19:$I$50), 0)</f>
        <v>11.2</v>
      </c>
      <c r="Q4" s="13">
        <f>IFERROR(SUMIF($C$19:$C$50,"J",$I$19:$I$50),0)</f>
        <v>0.8</v>
      </c>
      <c r="R4" s="13">
        <f t="shared" ref="R4:R12" si="0">IFERROR(SUM(P4:Q4),0)</f>
        <v>12</v>
      </c>
      <c r="S4" s="4"/>
      <c r="T4" s="10" t="s">
        <v>10</v>
      </c>
      <c r="U4" s="13">
        <f>IFERROR(SUMIF($H:$H,1,$I:$I),0)</f>
        <v>1.1000000000000001</v>
      </c>
      <c r="V4" s="4"/>
    </row>
    <row r="5" spans="1:22">
      <c r="A5" s="4"/>
      <c r="B5" s="4"/>
      <c r="C5" s="4"/>
      <c r="D5" s="8" t="s">
        <v>11</v>
      </c>
      <c r="E5" s="14" t="s">
        <v>12</v>
      </c>
      <c r="F5" s="4"/>
      <c r="G5" s="4"/>
      <c r="H5" s="4"/>
      <c r="I5" s="4"/>
      <c r="J5" s="40"/>
      <c r="K5" s="40"/>
      <c r="L5" s="40"/>
      <c r="M5" s="4"/>
      <c r="N5" s="4"/>
      <c r="O5" s="10" t="s">
        <v>13</v>
      </c>
      <c r="P5" s="13">
        <f>IFERROR(SUMIF($C$50:$C$90,"O",$I$50:$I$90), 0)</f>
        <v>26.000000000000007</v>
      </c>
      <c r="Q5" s="13">
        <f>IFERROR(SUMIF($C$50:$C$90,"J",$I$50:$I$90),0)</f>
        <v>0</v>
      </c>
      <c r="R5" s="13">
        <f t="shared" si="0"/>
        <v>26.000000000000007</v>
      </c>
      <c r="S5" s="4"/>
      <c r="T5" s="10" t="s">
        <v>14</v>
      </c>
      <c r="U5" s="13">
        <f>IFERROR(SUMIF($H:$H,2,$I:$I),0)</f>
        <v>6.1</v>
      </c>
      <c r="V5" s="4"/>
    </row>
    <row r="6" spans="1:22">
      <c r="A6" s="4"/>
      <c r="B6" s="4"/>
      <c r="C6" s="15" t="s">
        <v>9</v>
      </c>
      <c r="D6" s="15" t="s">
        <v>15</v>
      </c>
      <c r="E6" s="16">
        <f>IFERROR(SUM($I$19:$I$50), 0)</f>
        <v>12</v>
      </c>
      <c r="F6" s="4"/>
      <c r="G6" s="4"/>
      <c r="H6" s="4"/>
      <c r="I6" s="4"/>
      <c r="J6" s="40"/>
      <c r="K6" s="40"/>
      <c r="L6" s="40"/>
      <c r="M6" s="4"/>
      <c r="N6" s="4"/>
      <c r="O6" s="10" t="s">
        <v>16</v>
      </c>
      <c r="P6" s="13">
        <f>IFERROR(SUMIF($C$90:$C$129,"O",$I$90:$I$129), 0)</f>
        <v>5.8999999999999995</v>
      </c>
      <c r="Q6" s="13">
        <f>IFERROR(SUMIF($C$90:$C$129,"J",$I$90:$I$129),0)</f>
        <v>1.1000000000000001</v>
      </c>
      <c r="R6" s="13">
        <f t="shared" si="0"/>
        <v>7</v>
      </c>
      <c r="S6" s="4"/>
      <c r="T6" s="10" t="s">
        <v>17</v>
      </c>
      <c r="U6" s="13">
        <f>IFERROR(SUMIF($H:$H,3,$I:$I),0)</f>
        <v>8</v>
      </c>
      <c r="V6" s="4"/>
    </row>
    <row r="7" spans="1:22">
      <c r="A7" s="4"/>
      <c r="B7" s="4"/>
      <c r="C7" s="15" t="s">
        <v>13</v>
      </c>
      <c r="D7" s="15" t="s">
        <v>18</v>
      </c>
      <c r="E7" s="16">
        <f>IFERROR(SUM($I$50:$I$90),0)</f>
        <v>26.000000000000007</v>
      </c>
      <c r="F7" s="4"/>
      <c r="G7" s="4"/>
      <c r="H7" s="4"/>
      <c r="I7" s="4"/>
      <c r="J7" s="40"/>
      <c r="K7" s="40"/>
      <c r="L7" s="40"/>
      <c r="M7" s="4"/>
      <c r="N7" s="4"/>
      <c r="O7" s="10" t="s">
        <v>19</v>
      </c>
      <c r="P7" s="13">
        <f>IFERROR(SUMIF($C$129:$C$142,"O",$I$129:$I$142), 0)</f>
        <v>1</v>
      </c>
      <c r="Q7" s="13">
        <f>IFERROR(SUMIF($C$129:$C$142,"J",$I$129:$I$142),0)</f>
        <v>4</v>
      </c>
      <c r="R7" s="13">
        <f t="shared" si="0"/>
        <v>5</v>
      </c>
      <c r="S7" s="4"/>
      <c r="T7" s="10" t="s">
        <v>20</v>
      </c>
      <c r="U7" s="13">
        <f>IFERROR(SUMIF($H:$H,4,$I:$I),0)</f>
        <v>10.9</v>
      </c>
      <c r="V7" s="4"/>
    </row>
    <row r="8" spans="1:22">
      <c r="A8" s="4"/>
      <c r="B8" s="4"/>
      <c r="C8" s="15" t="s">
        <v>16</v>
      </c>
      <c r="D8" s="15" t="s">
        <v>21</v>
      </c>
      <c r="E8" s="16">
        <f>IFERROR(SUM($I$90:$I$129),0)</f>
        <v>6.9999999999999991</v>
      </c>
      <c r="F8" s="4"/>
      <c r="G8" s="4"/>
      <c r="H8" s="4"/>
      <c r="I8" s="4"/>
      <c r="J8" s="40"/>
      <c r="K8" s="40"/>
      <c r="L8" s="40"/>
      <c r="M8" s="4"/>
      <c r="N8" s="4"/>
      <c r="O8" s="10" t="s">
        <v>22</v>
      </c>
      <c r="P8" s="13">
        <f>IFERROR(SUMIF(#REF!,"O",#REF!), 0)</f>
        <v>0</v>
      </c>
      <c r="Q8" s="17">
        <f>IFERROR(SUMIF(#REF!,"J",#REF!),0)</f>
        <v>0</v>
      </c>
      <c r="R8" s="13">
        <f t="shared" si="0"/>
        <v>0</v>
      </c>
      <c r="S8" s="4"/>
      <c r="T8" s="10" t="s">
        <v>23</v>
      </c>
      <c r="U8" s="13">
        <f>IFERROR(SUMIF($H:$H,5,$I:$I),0)</f>
        <v>22.900000000000002</v>
      </c>
      <c r="V8" s="4"/>
    </row>
    <row r="9" spans="1:22">
      <c r="A9" s="4"/>
      <c r="B9" s="4"/>
      <c r="C9" s="15" t="s">
        <v>19</v>
      </c>
      <c r="D9" s="15" t="s">
        <v>24</v>
      </c>
      <c r="E9" s="16">
        <f>IFERROR(SUM($I$129:$I$142), 0)</f>
        <v>5</v>
      </c>
      <c r="F9" s="4"/>
      <c r="G9" s="4"/>
      <c r="H9" s="4"/>
      <c r="I9" s="4"/>
      <c r="J9" s="40"/>
      <c r="K9" s="40"/>
      <c r="L9" s="40"/>
      <c r="M9" s="4"/>
      <c r="N9" s="4"/>
      <c r="O9" s="10" t="s">
        <v>25</v>
      </c>
      <c r="P9" s="13">
        <f>IFERROR(SUMIF(#REF!,"O",#REF!), 0)</f>
        <v>0</v>
      </c>
      <c r="Q9" s="13">
        <f>IFERROR(SUMIF(#REF!,"J",#REF!),0)</f>
        <v>0</v>
      </c>
      <c r="R9" s="13">
        <f t="shared" si="0"/>
        <v>0</v>
      </c>
      <c r="S9" s="4"/>
      <c r="T9" s="10" t="s">
        <v>26</v>
      </c>
      <c r="U9" s="13">
        <f>IFERROR(SUMIF($H:$H,6,$I:$I),0)</f>
        <v>1</v>
      </c>
      <c r="V9" s="4"/>
    </row>
    <row r="10" spans="1:22">
      <c r="A10" s="4"/>
      <c r="B10" s="4"/>
      <c r="C10" s="15" t="s">
        <v>22</v>
      </c>
      <c r="D10" s="15"/>
      <c r="E10" s="16">
        <f>IFERROR(SUM(#REF!), 0)</f>
        <v>0</v>
      </c>
      <c r="F10" s="4"/>
      <c r="G10" s="4"/>
      <c r="H10" s="4"/>
      <c r="I10" s="4"/>
      <c r="J10" s="40"/>
      <c r="K10" s="40"/>
      <c r="L10" s="40"/>
      <c r="M10" s="4"/>
      <c r="N10" s="4"/>
      <c r="O10" s="10" t="s">
        <v>27</v>
      </c>
      <c r="P10" s="13">
        <f>IFERROR(SUMIF(#REF!,"O",#REF!), 0)</f>
        <v>0</v>
      </c>
      <c r="Q10" s="13">
        <f>IFERROR(SUMIF(#REF!,"J",#REF!),0)</f>
        <v>0</v>
      </c>
      <c r="R10" s="13">
        <f t="shared" si="0"/>
        <v>0</v>
      </c>
      <c r="S10" s="4"/>
      <c r="T10" s="10" t="s">
        <v>28</v>
      </c>
      <c r="U10" s="13">
        <f>IFERROR(SUMIF($H:$H,7,$I:$I),0)</f>
        <v>0</v>
      </c>
      <c r="V10" s="4"/>
    </row>
    <row r="11" spans="1:22">
      <c r="A11" s="4"/>
      <c r="B11" s="4"/>
      <c r="C11" s="15" t="s">
        <v>25</v>
      </c>
      <c r="D11" s="15"/>
      <c r="E11" s="16">
        <f>IFERROR(SUM(#REF!), 0)</f>
        <v>0</v>
      </c>
      <c r="F11" s="4"/>
      <c r="G11" s="4"/>
      <c r="H11" s="4"/>
      <c r="I11" s="4"/>
      <c r="J11" s="40"/>
      <c r="K11" s="40"/>
      <c r="L11" s="40"/>
      <c r="M11" s="4"/>
      <c r="N11" s="4"/>
      <c r="O11" s="10" t="s">
        <v>29</v>
      </c>
      <c r="P11" s="13">
        <f>IFERROR(SUMIF(#REF!,"O",#REF!), 0)</f>
        <v>0</v>
      </c>
      <c r="Q11" s="13">
        <f>IFERROR(SUMIF(#REF!,"J",#REF!),0)</f>
        <v>0</v>
      </c>
      <c r="R11" s="13">
        <f t="shared" si="0"/>
        <v>0</v>
      </c>
      <c r="S11" s="4"/>
      <c r="T11" s="10" t="s">
        <v>30</v>
      </c>
      <c r="U11" s="13">
        <f>IFERROR(SUMIF($H:$H,8,$I:$I),0)</f>
        <v>0</v>
      </c>
      <c r="V11" s="4"/>
    </row>
    <row r="12" spans="1:22">
      <c r="A12" s="4"/>
      <c r="B12" s="4"/>
      <c r="C12" s="15" t="s">
        <v>27</v>
      </c>
      <c r="D12" s="15"/>
      <c r="E12" s="16">
        <f>IFERROR(SUM(#REF!), 0)</f>
        <v>0</v>
      </c>
      <c r="F12" s="4"/>
      <c r="G12" s="4"/>
      <c r="H12" s="4"/>
      <c r="I12" s="4"/>
      <c r="J12" s="40"/>
      <c r="K12" s="40"/>
      <c r="L12" s="40"/>
      <c r="M12" s="4"/>
      <c r="N12" s="4"/>
      <c r="O12" s="10" t="s">
        <v>31</v>
      </c>
      <c r="P12" s="13">
        <f>IFERROR(SUMIF($C$143:$C$144,"O",$I$143:$I$144), 0)</f>
        <v>0</v>
      </c>
      <c r="Q12" s="13">
        <f>IFERROR(SUMIF($C$143:$C$144,"J",$I$143:$I$144),0)</f>
        <v>0</v>
      </c>
      <c r="R12" s="13">
        <f t="shared" si="0"/>
        <v>0</v>
      </c>
      <c r="S12" s="4"/>
      <c r="T12" s="10" t="s">
        <v>32</v>
      </c>
      <c r="U12" s="13">
        <f>IFERROR(SUMIF($H:$H,9,$I:$I),0)</f>
        <v>0</v>
      </c>
      <c r="V12" s="4"/>
    </row>
    <row r="13" spans="1:22">
      <c r="A13" s="4"/>
      <c r="B13" s="4"/>
      <c r="C13" s="15" t="s">
        <v>29</v>
      </c>
      <c r="D13" s="15"/>
      <c r="E13" s="16">
        <f>IFERROR(SUM(#REF!), 0)</f>
        <v>0</v>
      </c>
      <c r="F13" s="4"/>
      <c r="G13" s="4"/>
      <c r="H13" s="4"/>
      <c r="I13" s="4"/>
      <c r="J13" s="40"/>
      <c r="K13" s="40"/>
      <c r="L13" s="40"/>
      <c r="M13" s="4"/>
      <c r="N13" s="4"/>
      <c r="O13" s="10" t="s">
        <v>6</v>
      </c>
      <c r="P13" s="13">
        <f>IFERROR(SUM(P4:P12),0)</f>
        <v>44.1</v>
      </c>
      <c r="Q13" s="13">
        <f>IFERROR(SUM(Q4:Q12),0)</f>
        <v>5.9</v>
      </c>
      <c r="R13" s="13">
        <f>IFERROR(SUM(R4:R12),0)</f>
        <v>50.000000000000007</v>
      </c>
      <c r="S13" s="4"/>
      <c r="T13" s="10" t="s">
        <v>33</v>
      </c>
      <c r="U13" s="13">
        <f>IFERROR(SUMIF($H:$H,10,$I:$I),0)</f>
        <v>0</v>
      </c>
      <c r="V13" s="4"/>
    </row>
    <row r="14" spans="1:22">
      <c r="A14" s="4"/>
      <c r="B14" s="4"/>
      <c r="C14" s="15" t="s">
        <v>31</v>
      </c>
      <c r="D14" s="15"/>
      <c r="E14" s="16">
        <f>IFERROR(SUM($I$143:$I$144), 0)</f>
        <v>0</v>
      </c>
      <c r="F14" s="4"/>
      <c r="G14" s="4"/>
      <c r="H14" s="4"/>
      <c r="I14" s="4"/>
      <c r="J14" s="40"/>
      <c r="K14" s="40"/>
      <c r="L14" s="40"/>
      <c r="M14" s="4"/>
      <c r="N14" s="4"/>
      <c r="O14" s="4"/>
      <c r="P14" s="4"/>
      <c r="Q14" s="4"/>
      <c r="R14" s="4"/>
      <c r="S14" s="4"/>
      <c r="T14" s="10" t="s">
        <v>6</v>
      </c>
      <c r="U14" s="13">
        <f>IFERROR(SUM($U$4:$U$13), 0)</f>
        <v>50</v>
      </c>
      <c r="V14" s="4"/>
    </row>
    <row r="15" spans="1:22">
      <c r="A15" s="4"/>
      <c r="B15" s="4"/>
      <c r="C15" s="15" t="s">
        <v>6</v>
      </c>
      <c r="D15" s="15"/>
      <c r="E15" s="16">
        <f>IFERROR(SUM(I:I), 0)</f>
        <v>49.999999999999986</v>
      </c>
      <c r="F15" s="4"/>
      <c r="G15" s="4"/>
      <c r="H15" s="4"/>
      <c r="I15" s="4"/>
      <c r="J15" s="40"/>
      <c r="K15" s="40"/>
      <c r="L15" s="40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4"/>
      <c r="B16" s="4"/>
      <c r="C16" s="4"/>
      <c r="D16" s="4"/>
      <c r="E16" s="4"/>
      <c r="F16" s="4"/>
      <c r="G16" s="4"/>
      <c r="H16" s="4"/>
      <c r="I16" s="4"/>
      <c r="J16" s="40"/>
      <c r="K16" s="40"/>
      <c r="L16" s="40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4"/>
      <c r="B17" s="4"/>
      <c r="C17" s="4"/>
      <c r="D17" s="4"/>
      <c r="E17" s="4"/>
      <c r="F17" s="4"/>
      <c r="G17" s="4"/>
      <c r="H17" s="4"/>
      <c r="I17" s="4"/>
      <c r="J17" s="40"/>
      <c r="K17" s="40"/>
      <c r="L17" s="40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4"/>
      <c r="B18" s="4"/>
      <c r="C18" s="4"/>
      <c r="D18" s="4"/>
      <c r="E18" s="5"/>
      <c r="F18" s="4"/>
      <c r="G18" s="4"/>
      <c r="H18" s="4"/>
      <c r="I18" s="4"/>
      <c r="J18" s="40"/>
      <c r="K18" s="40"/>
      <c r="L18" s="40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51">
      <c r="A19" s="18" t="s">
        <v>34</v>
      </c>
      <c r="B19" s="18" t="s">
        <v>35</v>
      </c>
      <c r="C19" s="18" t="s">
        <v>36</v>
      </c>
      <c r="D19" s="18" t="s">
        <v>37</v>
      </c>
      <c r="E19" s="18" t="s">
        <v>38</v>
      </c>
      <c r="F19" s="18" t="s">
        <v>39</v>
      </c>
      <c r="G19" s="18" t="s">
        <v>40</v>
      </c>
      <c r="H19" s="18" t="s">
        <v>7</v>
      </c>
      <c r="I19" s="18" t="s">
        <v>41</v>
      </c>
      <c r="J19" s="41" t="s">
        <v>42</v>
      </c>
      <c r="K19" s="41" t="s">
        <v>43</v>
      </c>
      <c r="L19" s="41">
        <f>IFERROR(SUM($I$19:$I$50), 0)</f>
        <v>12</v>
      </c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8" t="s">
        <v>44</v>
      </c>
      <c r="B20" s="19" t="s">
        <v>45</v>
      </c>
      <c r="C20" s="20"/>
      <c r="D20" s="19"/>
      <c r="E20" s="8"/>
      <c r="F20" s="19"/>
      <c r="G20" s="19"/>
      <c r="H20" s="20"/>
      <c r="I20" s="21"/>
      <c r="J20" s="40"/>
      <c r="K20" s="40"/>
      <c r="L20" s="40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8"/>
      <c r="B21" s="19"/>
      <c r="C21" s="20" t="s">
        <v>46</v>
      </c>
      <c r="D21" s="19" t="s">
        <v>47</v>
      </c>
      <c r="E21" s="8"/>
      <c r="F21" s="19" t="s">
        <v>48</v>
      </c>
      <c r="G21" s="19"/>
      <c r="H21" s="20">
        <v>4</v>
      </c>
      <c r="I21" s="21">
        <v>1</v>
      </c>
      <c r="J21" s="40">
        <v>1</v>
      </c>
      <c r="K21" s="40"/>
      <c r="L21" s="45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8"/>
      <c r="B22" s="19"/>
      <c r="C22" s="20" t="s">
        <v>46</v>
      </c>
      <c r="D22" s="19" t="s">
        <v>49</v>
      </c>
      <c r="E22" s="8"/>
      <c r="F22" s="19" t="s">
        <v>48</v>
      </c>
      <c r="G22" s="19"/>
      <c r="H22" s="20">
        <v>4</v>
      </c>
      <c r="I22" s="21">
        <v>1</v>
      </c>
      <c r="J22" s="40">
        <v>1</v>
      </c>
      <c r="K22" s="40"/>
      <c r="L22" s="40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8"/>
      <c r="B23" s="19"/>
      <c r="C23" s="20" t="s">
        <v>46</v>
      </c>
      <c r="D23" s="19" t="s">
        <v>50</v>
      </c>
      <c r="E23" s="8"/>
      <c r="F23" s="19" t="s">
        <v>48</v>
      </c>
      <c r="G23" s="19"/>
      <c r="H23" s="20">
        <v>4</v>
      </c>
      <c r="I23" s="21">
        <v>0.5</v>
      </c>
      <c r="J23" s="40">
        <v>0.5</v>
      </c>
      <c r="K23" s="40"/>
      <c r="L23" s="40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25.5">
      <c r="A24" s="8" t="s">
        <v>51</v>
      </c>
      <c r="B24" s="19" t="s">
        <v>52</v>
      </c>
      <c r="C24" s="20"/>
      <c r="D24" s="19"/>
      <c r="E24" s="8"/>
      <c r="F24" s="19"/>
      <c r="G24" s="19"/>
      <c r="H24" s="20"/>
      <c r="I24" s="21"/>
      <c r="J24" s="40"/>
      <c r="K24" s="40"/>
      <c r="L24" s="40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5.5">
      <c r="A25" s="8"/>
      <c r="B25" s="19"/>
      <c r="C25" s="20" t="s">
        <v>46</v>
      </c>
      <c r="D25" s="19" t="s">
        <v>53</v>
      </c>
      <c r="E25" s="8"/>
      <c r="F25" s="19" t="s">
        <v>54</v>
      </c>
      <c r="G25" s="19"/>
      <c r="H25" s="20">
        <v>4</v>
      </c>
      <c r="I25" s="21">
        <v>2</v>
      </c>
      <c r="J25" s="40">
        <v>2</v>
      </c>
      <c r="K25" s="40"/>
      <c r="L25" s="40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25.5">
      <c r="A26" s="8"/>
      <c r="B26" s="19"/>
      <c r="C26" s="20" t="s">
        <v>46</v>
      </c>
      <c r="D26" s="19" t="s">
        <v>55</v>
      </c>
      <c r="E26" s="8"/>
      <c r="F26" s="19" t="s">
        <v>56</v>
      </c>
      <c r="G26" s="19"/>
      <c r="H26" s="20">
        <v>4</v>
      </c>
      <c r="I26" s="21">
        <v>0.5</v>
      </c>
      <c r="J26" s="40">
        <v>0.5</v>
      </c>
      <c r="K26" s="40"/>
      <c r="L26" s="40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25.5">
      <c r="A27" s="8"/>
      <c r="B27" s="19"/>
      <c r="C27" s="20" t="s">
        <v>46</v>
      </c>
      <c r="D27" s="19" t="s">
        <v>57</v>
      </c>
      <c r="E27" s="8"/>
      <c r="F27" s="19" t="s">
        <v>58</v>
      </c>
      <c r="G27" s="19"/>
      <c r="H27" s="20">
        <v>4</v>
      </c>
      <c r="I27" s="21">
        <v>2</v>
      </c>
      <c r="J27" s="40">
        <v>2</v>
      </c>
      <c r="K27" s="40"/>
      <c r="L27" s="40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25.5">
      <c r="A28" s="8"/>
      <c r="B28" s="19"/>
      <c r="C28" s="20" t="s">
        <v>46</v>
      </c>
      <c r="D28" s="19" t="s">
        <v>59</v>
      </c>
      <c r="E28" s="8"/>
      <c r="F28" s="19" t="s">
        <v>60</v>
      </c>
      <c r="G28" s="19"/>
      <c r="H28" s="20">
        <v>4</v>
      </c>
      <c r="I28" s="21">
        <v>0.5</v>
      </c>
      <c r="J28" s="40">
        <v>0.5</v>
      </c>
      <c r="K28" s="40"/>
      <c r="L28" s="40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25.5">
      <c r="A29" s="8"/>
      <c r="B29" s="19"/>
      <c r="C29" s="20" t="s">
        <v>46</v>
      </c>
      <c r="D29" s="19" t="s">
        <v>61</v>
      </c>
      <c r="E29" s="8"/>
      <c r="F29" s="19" t="s">
        <v>62</v>
      </c>
      <c r="G29" s="19"/>
      <c r="H29" s="20">
        <v>4</v>
      </c>
      <c r="I29" s="21">
        <v>0.5</v>
      </c>
      <c r="J29" s="40">
        <v>0.5</v>
      </c>
      <c r="K29" s="40"/>
      <c r="L29" s="40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42" customHeight="1">
      <c r="A30" s="8"/>
      <c r="B30" s="19"/>
      <c r="C30" s="20" t="s">
        <v>46</v>
      </c>
      <c r="D30" s="19" t="s">
        <v>63</v>
      </c>
      <c r="E30" s="8"/>
      <c r="F30" s="19" t="s">
        <v>64</v>
      </c>
      <c r="G30" s="19"/>
      <c r="H30" s="20">
        <v>4</v>
      </c>
      <c r="I30" s="21">
        <v>0.9</v>
      </c>
      <c r="J30" s="40">
        <v>0.9</v>
      </c>
      <c r="K30" s="40"/>
      <c r="L30" s="40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5.5">
      <c r="A31" s="8"/>
      <c r="B31" s="19"/>
      <c r="C31" s="20" t="s">
        <v>65</v>
      </c>
      <c r="D31" s="19" t="s">
        <v>66</v>
      </c>
      <c r="E31" s="8"/>
      <c r="F31" s="19"/>
      <c r="G31" s="19"/>
      <c r="H31" s="20">
        <v>2</v>
      </c>
      <c r="I31" s="21">
        <v>0.5</v>
      </c>
      <c r="J31" s="40">
        <v>0.5</v>
      </c>
      <c r="K31" s="40"/>
      <c r="L31" s="40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38.25">
      <c r="A32" s="8"/>
      <c r="B32" s="19"/>
      <c r="C32" s="20"/>
      <c r="D32" s="19"/>
      <c r="E32" s="8">
        <v>0</v>
      </c>
      <c r="F32" s="19" t="s">
        <v>67</v>
      </c>
      <c r="G32" s="19"/>
      <c r="H32" s="20"/>
      <c r="I32" s="21"/>
      <c r="J32" s="40"/>
      <c r="K32" s="40"/>
      <c r="L32" s="40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25.5">
      <c r="A33" s="8"/>
      <c r="B33" s="19"/>
      <c r="C33" s="20"/>
      <c r="D33" s="19"/>
      <c r="E33" s="8">
        <v>1</v>
      </c>
      <c r="F33" s="19" t="s">
        <v>68</v>
      </c>
      <c r="G33" s="19"/>
      <c r="H33" s="20"/>
      <c r="I33" s="21"/>
      <c r="J33" s="40"/>
      <c r="K33" s="40"/>
      <c r="L33" s="40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38.25">
      <c r="A34" s="8"/>
      <c r="B34" s="19"/>
      <c r="C34" s="20"/>
      <c r="D34" s="19"/>
      <c r="E34" s="8">
        <v>2</v>
      </c>
      <c r="F34" s="19" t="s">
        <v>69</v>
      </c>
      <c r="G34" s="19"/>
      <c r="H34" s="20"/>
      <c r="I34" s="21"/>
      <c r="J34" s="40"/>
      <c r="K34" s="40"/>
      <c r="L34" s="40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38.25">
      <c r="A35" s="8"/>
      <c r="B35" s="19"/>
      <c r="C35" s="20"/>
      <c r="D35" s="19"/>
      <c r="E35" s="8">
        <v>3</v>
      </c>
      <c r="F35" s="19" t="s">
        <v>70</v>
      </c>
      <c r="G35" s="19"/>
      <c r="H35" s="20"/>
      <c r="I35" s="21"/>
      <c r="J35" s="40"/>
      <c r="K35" s="40"/>
      <c r="L35" s="40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8" t="s">
        <v>71</v>
      </c>
      <c r="B36" s="19" t="s">
        <v>72</v>
      </c>
      <c r="C36" s="20"/>
      <c r="D36" s="19"/>
      <c r="E36" s="8"/>
      <c r="F36" s="19"/>
      <c r="G36" s="19"/>
      <c r="H36" s="20"/>
      <c r="I36" s="21"/>
      <c r="J36" s="40"/>
      <c r="K36" s="40"/>
      <c r="L36" s="40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8"/>
      <c r="B37" s="19"/>
      <c r="C37" s="20" t="s">
        <v>46</v>
      </c>
      <c r="D37" s="19" t="s">
        <v>73</v>
      </c>
      <c r="E37" s="8"/>
      <c r="F37" s="19"/>
      <c r="G37" s="19"/>
      <c r="H37" s="20">
        <v>2</v>
      </c>
      <c r="I37" s="21">
        <v>0.1</v>
      </c>
      <c r="J37" s="40">
        <v>0.1</v>
      </c>
      <c r="K37" s="40"/>
      <c r="L37" s="40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25.5">
      <c r="A38" s="8"/>
      <c r="B38" s="19"/>
      <c r="C38" s="20" t="s">
        <v>46</v>
      </c>
      <c r="D38" s="19" t="s">
        <v>74</v>
      </c>
      <c r="E38" s="8"/>
      <c r="F38" s="19" t="s">
        <v>75</v>
      </c>
      <c r="G38" s="19"/>
      <c r="H38" s="20">
        <v>2</v>
      </c>
      <c r="I38" s="21">
        <v>0.3</v>
      </c>
      <c r="J38" s="40">
        <v>0.3</v>
      </c>
      <c r="K38" s="40"/>
      <c r="L38" s="40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25.5">
      <c r="A39" s="8"/>
      <c r="B39" s="19"/>
      <c r="C39" s="20" t="s">
        <v>46</v>
      </c>
      <c r="D39" s="19" t="s">
        <v>76</v>
      </c>
      <c r="E39" s="8"/>
      <c r="F39" s="19" t="s">
        <v>77</v>
      </c>
      <c r="G39" s="19"/>
      <c r="H39" s="20">
        <v>2</v>
      </c>
      <c r="I39" s="21">
        <v>1</v>
      </c>
      <c r="J39" s="40">
        <v>1</v>
      </c>
      <c r="K39" s="40"/>
      <c r="L39" s="40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>
      <c r="A40" s="8"/>
      <c r="B40" s="19"/>
      <c r="C40" s="20" t="s">
        <v>46</v>
      </c>
      <c r="D40" s="19" t="s">
        <v>78</v>
      </c>
      <c r="E40" s="8"/>
      <c r="F40" s="19" t="s">
        <v>75</v>
      </c>
      <c r="G40" s="19"/>
      <c r="H40" s="20">
        <v>2</v>
      </c>
      <c r="I40" s="21">
        <v>0.6</v>
      </c>
      <c r="J40" s="40">
        <v>0.6</v>
      </c>
      <c r="K40" s="40"/>
      <c r="L40" s="40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25.5">
      <c r="A41" s="8"/>
      <c r="B41" s="19"/>
      <c r="C41" s="20" t="s">
        <v>65</v>
      </c>
      <c r="D41" s="19" t="s">
        <v>79</v>
      </c>
      <c r="E41" s="8"/>
      <c r="F41" s="19"/>
      <c r="G41" s="19"/>
      <c r="H41" s="20">
        <v>1</v>
      </c>
      <c r="I41" s="21">
        <v>0.3</v>
      </c>
      <c r="J41" s="40">
        <v>0.3</v>
      </c>
      <c r="K41" s="40"/>
      <c r="L41" s="40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8"/>
      <c r="B42" s="19"/>
      <c r="C42" s="20"/>
      <c r="D42" s="19"/>
      <c r="E42" s="8">
        <v>0</v>
      </c>
      <c r="F42" s="19" t="s">
        <v>80</v>
      </c>
      <c r="G42" s="19"/>
      <c r="H42" s="20"/>
      <c r="I42" s="21"/>
      <c r="J42" s="40"/>
      <c r="K42" s="40"/>
      <c r="L42" s="40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38.25">
      <c r="A43" s="8"/>
      <c r="B43" s="19"/>
      <c r="C43" s="20"/>
      <c r="D43" s="19"/>
      <c r="E43" s="8">
        <v>1</v>
      </c>
      <c r="F43" s="19" t="s">
        <v>81</v>
      </c>
      <c r="G43" s="19"/>
      <c r="H43" s="20"/>
      <c r="I43" s="21"/>
      <c r="J43" s="40"/>
      <c r="K43" s="40"/>
      <c r="L43" s="40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38.25">
      <c r="A44" s="8"/>
      <c r="B44" s="19"/>
      <c r="C44" s="20"/>
      <c r="D44" s="19"/>
      <c r="E44" s="8">
        <v>2</v>
      </c>
      <c r="F44" s="19" t="s">
        <v>82</v>
      </c>
      <c r="G44" s="19"/>
      <c r="H44" s="20"/>
      <c r="I44" s="21"/>
      <c r="J44" s="40"/>
      <c r="K44" s="40"/>
      <c r="L44" s="40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38.25">
      <c r="A45" s="8"/>
      <c r="B45" s="19"/>
      <c r="C45" s="20"/>
      <c r="D45" s="19"/>
      <c r="E45" s="8">
        <v>3</v>
      </c>
      <c r="F45" s="19" t="s">
        <v>83</v>
      </c>
      <c r="G45" s="19"/>
      <c r="H45" s="20"/>
      <c r="I45" s="21"/>
      <c r="J45" s="40"/>
      <c r="K45" s="40"/>
      <c r="L45" s="40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25.5">
      <c r="A46" s="8" t="s">
        <v>84</v>
      </c>
      <c r="B46" s="19" t="s">
        <v>85</v>
      </c>
      <c r="C46" s="20"/>
      <c r="D46" s="19"/>
      <c r="E46" s="8"/>
      <c r="F46" s="19"/>
      <c r="G46" s="19"/>
      <c r="H46" s="20"/>
      <c r="I46" s="21"/>
      <c r="J46" s="40"/>
      <c r="K46" s="40"/>
      <c r="L46" s="40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25.5">
      <c r="A47" s="8"/>
      <c r="B47" s="19"/>
      <c r="C47" s="20" t="s">
        <v>46</v>
      </c>
      <c r="D47" s="19" t="s">
        <v>86</v>
      </c>
      <c r="E47" s="8"/>
      <c r="F47" s="19"/>
      <c r="G47" s="19"/>
      <c r="H47" s="20">
        <v>1</v>
      </c>
      <c r="I47" s="21">
        <v>0.1</v>
      </c>
      <c r="J47" s="40">
        <v>0.1</v>
      </c>
      <c r="K47" s="40"/>
      <c r="L47" s="40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8"/>
      <c r="B48" s="19"/>
      <c r="C48" s="20" t="s">
        <v>46</v>
      </c>
      <c r="D48" s="19" t="s">
        <v>87</v>
      </c>
      <c r="E48" s="8"/>
      <c r="F48" s="19" t="s">
        <v>48</v>
      </c>
      <c r="G48" s="19"/>
      <c r="H48" s="20">
        <v>1</v>
      </c>
      <c r="I48" s="21">
        <v>0.2</v>
      </c>
      <c r="J48" s="40">
        <v>0.2</v>
      </c>
      <c r="K48" s="40"/>
      <c r="L48" s="40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>
      <c r="A49" s="8"/>
      <c r="B49" s="19"/>
      <c r="C49" s="20"/>
      <c r="D49" s="19"/>
      <c r="E49" s="8"/>
      <c r="F49" s="19"/>
      <c r="G49" s="19"/>
      <c r="H49" s="20"/>
      <c r="I49" s="21"/>
      <c r="J49" s="40"/>
      <c r="K49" s="40"/>
      <c r="L49" s="40">
        <f>SUM(J21:J48)</f>
        <v>12</v>
      </c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51">
      <c r="A50" s="22" t="s">
        <v>34</v>
      </c>
      <c r="B50" s="22" t="s">
        <v>35</v>
      </c>
      <c r="C50" s="18" t="s">
        <v>36</v>
      </c>
      <c r="D50" s="22" t="s">
        <v>37</v>
      </c>
      <c r="E50" s="22" t="s">
        <v>38</v>
      </c>
      <c r="F50" s="22" t="s">
        <v>39</v>
      </c>
      <c r="G50" s="22" t="s">
        <v>40</v>
      </c>
      <c r="H50" s="22" t="s">
        <v>7</v>
      </c>
      <c r="I50" s="23" t="s">
        <v>41</v>
      </c>
      <c r="J50" s="42" t="s">
        <v>88</v>
      </c>
      <c r="K50" s="42" t="s">
        <v>43</v>
      </c>
      <c r="L50" s="42">
        <f>IFERROR(SUM($I$50:$I$90), 0)</f>
        <v>26.000000000000007</v>
      </c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>
      <c r="A51" s="8" t="s">
        <v>89</v>
      </c>
      <c r="B51" s="19" t="s">
        <v>90</v>
      </c>
      <c r="C51" s="20"/>
      <c r="D51" s="19"/>
      <c r="E51" s="8"/>
      <c r="F51" s="19"/>
      <c r="G51" s="19"/>
      <c r="H51" s="20"/>
      <c r="I51" s="21"/>
      <c r="J51" s="40"/>
      <c r="K51" s="40"/>
      <c r="L51" s="40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s="8"/>
      <c r="B52" s="19"/>
      <c r="C52" s="20" t="s">
        <v>46</v>
      </c>
      <c r="D52" s="19" t="s">
        <v>91</v>
      </c>
      <c r="E52" s="8"/>
      <c r="F52" s="19" t="s">
        <v>48</v>
      </c>
      <c r="G52" s="19"/>
      <c r="H52" s="20">
        <v>5</v>
      </c>
      <c r="I52" s="21">
        <v>1</v>
      </c>
      <c r="J52" s="40">
        <v>1</v>
      </c>
      <c r="K52" s="40"/>
      <c r="L52" s="40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8"/>
      <c r="B53" s="19"/>
      <c r="C53" s="20" t="s">
        <v>46</v>
      </c>
      <c r="D53" s="19" t="s">
        <v>92</v>
      </c>
      <c r="E53" s="8"/>
      <c r="F53" s="19" t="s">
        <v>48</v>
      </c>
      <c r="G53" s="19"/>
      <c r="H53" s="20">
        <v>5</v>
      </c>
      <c r="I53" s="21">
        <v>0.9</v>
      </c>
      <c r="J53" s="40">
        <v>0.9</v>
      </c>
      <c r="K53" s="40"/>
      <c r="L53" s="40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8"/>
      <c r="B54" s="19"/>
      <c r="C54" s="20" t="s">
        <v>46</v>
      </c>
      <c r="D54" s="19" t="s">
        <v>93</v>
      </c>
      <c r="E54" s="8"/>
      <c r="F54" s="19" t="s">
        <v>48</v>
      </c>
      <c r="G54" s="19"/>
      <c r="H54" s="20">
        <v>5</v>
      </c>
      <c r="I54" s="21">
        <v>0.8</v>
      </c>
      <c r="J54" s="40">
        <v>0.8</v>
      </c>
      <c r="K54" s="40"/>
      <c r="L54" s="40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8"/>
      <c r="B55" s="19"/>
      <c r="C55" s="20" t="s">
        <v>46</v>
      </c>
      <c r="D55" s="19" t="s">
        <v>94</v>
      </c>
      <c r="E55" s="8"/>
      <c r="F55" s="19"/>
      <c r="G55" s="19"/>
      <c r="H55" s="20">
        <v>5</v>
      </c>
      <c r="I55" s="21">
        <v>0.2</v>
      </c>
      <c r="J55" s="40">
        <v>0.2</v>
      </c>
      <c r="K55" s="40"/>
      <c r="L55" s="40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8" t="s">
        <v>95</v>
      </c>
      <c r="B56" s="19" t="s">
        <v>96</v>
      </c>
      <c r="C56" s="20"/>
      <c r="D56" s="19"/>
      <c r="E56" s="8"/>
      <c r="F56" s="19"/>
      <c r="G56" s="19"/>
      <c r="H56" s="20"/>
      <c r="I56" s="21"/>
      <c r="J56" s="40"/>
      <c r="K56" s="40"/>
      <c r="L56" s="40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>
      <c r="A57" s="8"/>
      <c r="B57" s="19"/>
      <c r="C57" s="20" t="s">
        <v>46</v>
      </c>
      <c r="D57" s="19" t="s">
        <v>97</v>
      </c>
      <c r="E57" s="8"/>
      <c r="F57" s="19"/>
      <c r="G57" s="19"/>
      <c r="H57" s="20">
        <v>5</v>
      </c>
      <c r="I57" s="21">
        <v>0.5</v>
      </c>
      <c r="J57" s="40">
        <v>0.5</v>
      </c>
      <c r="K57" s="40"/>
      <c r="L57" s="40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8"/>
      <c r="B58" s="19"/>
      <c r="C58" s="20" t="s">
        <v>46</v>
      </c>
      <c r="D58" s="19" t="s">
        <v>98</v>
      </c>
      <c r="E58" s="8"/>
      <c r="F58" s="19"/>
      <c r="G58" s="19"/>
      <c r="H58" s="20">
        <v>5</v>
      </c>
      <c r="I58" s="21">
        <v>1</v>
      </c>
      <c r="J58" s="40">
        <v>1</v>
      </c>
      <c r="K58" s="40"/>
      <c r="L58" s="40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38.25">
      <c r="A59" s="8"/>
      <c r="B59" s="19"/>
      <c r="C59" s="20" t="s">
        <v>46</v>
      </c>
      <c r="D59" s="19" t="s">
        <v>99</v>
      </c>
      <c r="E59" s="8"/>
      <c r="F59" s="19" t="s">
        <v>100</v>
      </c>
      <c r="G59" s="19"/>
      <c r="H59" s="20">
        <v>5</v>
      </c>
      <c r="I59" s="21">
        <v>1</v>
      </c>
      <c r="J59" s="40">
        <v>1</v>
      </c>
      <c r="K59" s="40"/>
      <c r="L59" s="40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24.75" customHeight="1">
      <c r="A60" s="8" t="s">
        <v>101</v>
      </c>
      <c r="B60" s="19" t="s">
        <v>102</v>
      </c>
      <c r="C60" s="20"/>
      <c r="D60" s="19"/>
      <c r="E60" s="8"/>
      <c r="F60" s="19"/>
      <c r="G60" s="19"/>
      <c r="H60" s="20"/>
      <c r="I60" s="21"/>
      <c r="J60" s="40"/>
      <c r="K60" s="40"/>
      <c r="L60" s="40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24.75" customHeight="1">
      <c r="A61" s="8"/>
      <c r="B61" s="19"/>
      <c r="C61" s="20" t="s">
        <v>46</v>
      </c>
      <c r="D61" s="19" t="s">
        <v>103</v>
      </c>
      <c r="E61" s="8"/>
      <c r="F61" s="19" t="s">
        <v>48</v>
      </c>
      <c r="G61" s="19"/>
      <c r="H61" s="20">
        <v>5</v>
      </c>
      <c r="I61" s="21">
        <v>1</v>
      </c>
      <c r="J61" s="40">
        <v>1</v>
      </c>
      <c r="K61" s="40"/>
      <c r="L61" s="40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24.75" customHeight="1">
      <c r="A62" s="8"/>
      <c r="B62" s="19"/>
      <c r="C62" s="20" t="s">
        <v>46</v>
      </c>
      <c r="D62" s="19" t="s">
        <v>104</v>
      </c>
      <c r="E62" s="8"/>
      <c r="F62" s="19"/>
      <c r="G62" s="19"/>
      <c r="H62" s="20">
        <v>5</v>
      </c>
      <c r="I62" s="21">
        <v>1</v>
      </c>
      <c r="J62" s="40">
        <v>1</v>
      </c>
      <c r="K62" s="40"/>
      <c r="L62" s="40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24.75" customHeight="1">
      <c r="A63" s="8"/>
      <c r="B63" s="19"/>
      <c r="C63" s="20" t="s">
        <v>46</v>
      </c>
      <c r="D63" s="19" t="s">
        <v>105</v>
      </c>
      <c r="F63" s="19"/>
      <c r="G63" s="19"/>
      <c r="H63" s="20">
        <v>5</v>
      </c>
      <c r="I63" s="21">
        <v>1</v>
      </c>
      <c r="J63" s="40">
        <v>1</v>
      </c>
      <c r="K63" s="40"/>
      <c r="L63" s="40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24.75" customHeight="1">
      <c r="A64" s="8"/>
      <c r="B64" s="19"/>
      <c r="C64" s="20" t="s">
        <v>46</v>
      </c>
      <c r="D64" s="19" t="s">
        <v>106</v>
      </c>
      <c r="E64" s="8"/>
      <c r="F64" s="19"/>
      <c r="G64" s="19"/>
      <c r="H64" s="20">
        <v>5</v>
      </c>
      <c r="I64" s="21">
        <v>1</v>
      </c>
      <c r="J64" s="40">
        <v>1</v>
      </c>
      <c r="K64" s="40"/>
      <c r="L64" s="40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25.5">
      <c r="A65" s="8" t="s">
        <v>107</v>
      </c>
      <c r="B65" s="19" t="s">
        <v>108</v>
      </c>
      <c r="C65" s="20"/>
      <c r="D65" s="19"/>
      <c r="E65" s="8"/>
      <c r="F65" s="19"/>
      <c r="G65" s="8"/>
      <c r="H65" s="20"/>
      <c r="I65" s="21"/>
      <c r="J65" s="40"/>
      <c r="K65" s="40"/>
      <c r="L65" s="40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8"/>
      <c r="B66" s="19"/>
      <c r="C66" s="20" t="s">
        <v>46</v>
      </c>
      <c r="D66" s="19" t="s">
        <v>103</v>
      </c>
      <c r="F66" s="19" t="s">
        <v>48</v>
      </c>
      <c r="G66" s="19"/>
      <c r="H66" s="20">
        <v>5</v>
      </c>
      <c r="I66" s="21">
        <v>0.9</v>
      </c>
      <c r="J66" s="40">
        <v>0.9</v>
      </c>
      <c r="K66" s="40"/>
      <c r="L66" s="40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>
      <c r="A67" s="8"/>
      <c r="B67" s="19"/>
      <c r="C67" s="20" t="s">
        <v>46</v>
      </c>
      <c r="D67" s="19" t="s">
        <v>109</v>
      </c>
      <c r="E67" s="8"/>
      <c r="F67" s="19"/>
      <c r="G67" s="8"/>
      <c r="H67" s="20">
        <v>5</v>
      </c>
      <c r="I67" s="21">
        <v>0.9</v>
      </c>
      <c r="J67" s="40">
        <v>0.9</v>
      </c>
      <c r="K67" s="40"/>
      <c r="L67" s="40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25.5">
      <c r="A68" s="8"/>
      <c r="B68" s="19"/>
      <c r="C68" s="20" t="s">
        <v>46</v>
      </c>
      <c r="D68" s="19" t="s">
        <v>110</v>
      </c>
      <c r="E68" s="8"/>
      <c r="F68" s="19"/>
      <c r="G68" s="8"/>
      <c r="H68" s="20">
        <v>5</v>
      </c>
      <c r="I68" s="21">
        <v>0.9</v>
      </c>
      <c r="J68" s="40">
        <v>0.9</v>
      </c>
      <c r="K68" s="40"/>
      <c r="L68" s="40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>
      <c r="A69" s="8"/>
      <c r="B69" s="19"/>
      <c r="C69" s="20" t="s">
        <v>46</v>
      </c>
      <c r="D69" s="19" t="s">
        <v>111</v>
      </c>
      <c r="E69" s="8"/>
      <c r="F69" s="19"/>
      <c r="G69" s="8"/>
      <c r="H69" s="20">
        <v>5</v>
      </c>
      <c r="I69" s="21">
        <v>0.9</v>
      </c>
      <c r="J69" s="40">
        <v>0.9</v>
      </c>
      <c r="K69" s="40"/>
      <c r="L69" s="40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8"/>
      <c r="B70" s="19"/>
      <c r="C70" s="20" t="s">
        <v>46</v>
      </c>
      <c r="D70" s="19" t="s">
        <v>112</v>
      </c>
      <c r="E70" s="8"/>
      <c r="F70" s="19"/>
      <c r="G70" s="8"/>
      <c r="H70" s="20">
        <v>5</v>
      </c>
      <c r="I70" s="21">
        <v>0.8</v>
      </c>
      <c r="J70" s="40">
        <v>0.8</v>
      </c>
      <c r="K70" s="40"/>
      <c r="L70" s="40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8"/>
      <c r="B71" s="19"/>
      <c r="C71" s="20" t="s">
        <v>46</v>
      </c>
      <c r="D71" s="19" t="s">
        <v>113</v>
      </c>
      <c r="E71" s="8"/>
      <c r="F71" s="19"/>
      <c r="G71" s="8"/>
      <c r="H71" s="20">
        <v>5</v>
      </c>
      <c r="I71" s="21">
        <v>0.9</v>
      </c>
      <c r="J71" s="40">
        <v>0.9</v>
      </c>
      <c r="K71" s="40"/>
      <c r="L71" s="40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8"/>
      <c r="B72" s="19"/>
      <c r="C72" s="20" t="s">
        <v>46</v>
      </c>
      <c r="D72" s="19" t="s">
        <v>114</v>
      </c>
      <c r="E72" s="8"/>
      <c r="F72" s="19"/>
      <c r="G72" s="8"/>
      <c r="H72" s="20">
        <v>5</v>
      </c>
      <c r="I72" s="21">
        <v>0.9</v>
      </c>
      <c r="J72" s="40">
        <v>0.9</v>
      </c>
      <c r="K72" s="40"/>
      <c r="L72" s="40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8"/>
      <c r="B73" s="19"/>
      <c r="C73" s="20" t="s">
        <v>46</v>
      </c>
      <c r="D73" s="19" t="s">
        <v>115</v>
      </c>
      <c r="E73" s="8"/>
      <c r="F73" s="19" t="s">
        <v>48</v>
      </c>
      <c r="G73" s="8"/>
      <c r="H73" s="20">
        <v>5</v>
      </c>
      <c r="I73" s="21">
        <v>1</v>
      </c>
      <c r="J73" s="40">
        <v>1</v>
      </c>
      <c r="K73" s="40"/>
      <c r="L73" s="40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8"/>
      <c r="B74" s="19"/>
      <c r="C74" s="20" t="s">
        <v>46</v>
      </c>
      <c r="D74" s="19" t="s">
        <v>116</v>
      </c>
      <c r="E74" s="8"/>
      <c r="F74" s="19"/>
      <c r="G74" s="8"/>
      <c r="H74" s="20">
        <v>5</v>
      </c>
      <c r="I74" s="21">
        <v>1</v>
      </c>
      <c r="J74" s="40">
        <v>0</v>
      </c>
      <c r="K74" s="40"/>
      <c r="L74" s="40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8"/>
      <c r="B75" s="19"/>
      <c r="C75" s="20" t="s">
        <v>46</v>
      </c>
      <c r="D75" s="19" t="s">
        <v>117</v>
      </c>
      <c r="E75" s="8"/>
      <c r="F75" s="19" t="s">
        <v>48</v>
      </c>
      <c r="G75" s="8"/>
      <c r="H75" s="20">
        <v>5</v>
      </c>
      <c r="I75" s="21">
        <v>0.8</v>
      </c>
      <c r="J75" s="40">
        <v>0.8</v>
      </c>
      <c r="K75" s="40"/>
      <c r="L75" s="40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25.5">
      <c r="A76" s="8" t="s">
        <v>118</v>
      </c>
      <c r="B76" s="19" t="s">
        <v>119</v>
      </c>
      <c r="C76" s="20"/>
      <c r="D76" s="19"/>
      <c r="E76" s="8"/>
      <c r="F76" s="19"/>
      <c r="G76" s="19"/>
      <c r="H76" s="20"/>
      <c r="I76" s="21"/>
      <c r="J76" s="40"/>
      <c r="K76" s="40"/>
      <c r="L76" s="40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38.25">
      <c r="A77" s="8"/>
      <c r="B77" s="19"/>
      <c r="C77" s="20" t="s">
        <v>46</v>
      </c>
      <c r="D77" s="19" t="s">
        <v>120</v>
      </c>
      <c r="E77" s="8"/>
      <c r="F77" s="19"/>
      <c r="G77" s="19"/>
      <c r="H77" s="20">
        <v>6</v>
      </c>
      <c r="I77" s="21">
        <v>1</v>
      </c>
      <c r="J77" s="40">
        <v>1</v>
      </c>
      <c r="K77" s="40"/>
      <c r="L77" s="40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42" customHeight="1">
      <c r="A78" s="8"/>
      <c r="B78" s="19"/>
      <c r="C78" s="20" t="s">
        <v>46</v>
      </c>
      <c r="D78" s="19" t="s">
        <v>121</v>
      </c>
      <c r="E78" s="8"/>
      <c r="F78" s="19"/>
      <c r="G78" s="19"/>
      <c r="H78" s="20">
        <v>2</v>
      </c>
      <c r="I78" s="21">
        <v>0.6</v>
      </c>
      <c r="J78" s="40">
        <v>0.6</v>
      </c>
      <c r="K78" s="40"/>
      <c r="L78" s="40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52.5" customHeight="1">
      <c r="A79" s="8"/>
      <c r="B79" s="19"/>
      <c r="C79" s="20" t="s">
        <v>46</v>
      </c>
      <c r="D79" s="19" t="s">
        <v>122</v>
      </c>
      <c r="E79" s="8"/>
      <c r="F79" s="19" t="s">
        <v>123</v>
      </c>
      <c r="G79" s="19"/>
      <c r="H79" s="20">
        <v>3</v>
      </c>
      <c r="I79" s="21">
        <v>0.8</v>
      </c>
      <c r="J79" s="40">
        <v>0.8</v>
      </c>
      <c r="K79" s="40"/>
      <c r="L79" s="40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8" t="s">
        <v>124</v>
      </c>
      <c r="B80" s="19" t="s">
        <v>125</v>
      </c>
      <c r="C80" s="20"/>
      <c r="D80" s="19"/>
      <c r="E80" s="8"/>
      <c r="F80" s="19"/>
      <c r="G80" s="19"/>
      <c r="H80" s="20"/>
      <c r="I80" s="21"/>
      <c r="J80" s="40"/>
      <c r="K80" s="40"/>
      <c r="L80" s="40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8"/>
      <c r="B81" s="19"/>
      <c r="C81" s="20" t="s">
        <v>46</v>
      </c>
      <c r="D81" s="19" t="s">
        <v>126</v>
      </c>
      <c r="E81" s="8"/>
      <c r="F81" s="19" t="s">
        <v>127</v>
      </c>
      <c r="G81" s="19"/>
      <c r="H81" s="20">
        <v>3</v>
      </c>
      <c r="I81" s="21">
        <v>0.3</v>
      </c>
      <c r="J81" s="40">
        <v>0.3</v>
      </c>
      <c r="K81" s="40"/>
      <c r="L81" s="40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8"/>
      <c r="B82" s="19"/>
      <c r="C82" s="20" t="s">
        <v>46</v>
      </c>
      <c r="D82" s="19" t="s">
        <v>128</v>
      </c>
      <c r="E82" s="8"/>
      <c r="F82" s="19" t="s">
        <v>127</v>
      </c>
      <c r="G82" s="19"/>
      <c r="H82" s="20">
        <v>3</v>
      </c>
      <c r="I82" s="21">
        <v>0.3</v>
      </c>
      <c r="J82" s="40">
        <v>0.3</v>
      </c>
      <c r="K82" s="40"/>
      <c r="L82" s="40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8"/>
      <c r="B83" s="19"/>
      <c r="C83" s="20" t="s">
        <v>46</v>
      </c>
      <c r="D83" s="19" t="s">
        <v>129</v>
      </c>
      <c r="E83" s="8"/>
      <c r="F83" s="19" t="s">
        <v>127</v>
      </c>
      <c r="G83" s="19"/>
      <c r="H83" s="20">
        <v>3</v>
      </c>
      <c r="I83" s="21">
        <v>1</v>
      </c>
      <c r="J83" s="40">
        <v>1</v>
      </c>
      <c r="K83" s="40"/>
      <c r="L83" s="40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8"/>
      <c r="B84" s="19"/>
      <c r="C84" s="20" t="s">
        <v>46</v>
      </c>
      <c r="D84" s="19" t="s">
        <v>130</v>
      </c>
      <c r="E84" s="8"/>
      <c r="F84" s="19" t="s">
        <v>127</v>
      </c>
      <c r="G84" s="19"/>
      <c r="H84" s="20">
        <v>3</v>
      </c>
      <c r="I84" s="21">
        <v>0.3</v>
      </c>
      <c r="J84" s="40">
        <v>0.3</v>
      </c>
      <c r="K84" s="40"/>
      <c r="L84" s="40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8"/>
      <c r="B85" s="19"/>
      <c r="C85" s="20" t="s">
        <v>46</v>
      </c>
      <c r="D85" s="19" t="s">
        <v>131</v>
      </c>
      <c r="E85" s="8"/>
      <c r="F85" s="19" t="s">
        <v>127</v>
      </c>
      <c r="G85" s="19"/>
      <c r="H85" s="20">
        <v>3</v>
      </c>
      <c r="I85" s="21">
        <v>0.3</v>
      </c>
      <c r="J85" s="40">
        <v>0.3</v>
      </c>
      <c r="K85" s="40"/>
      <c r="L85" s="40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8"/>
      <c r="B86" s="19"/>
      <c r="C86" s="20" t="s">
        <v>46</v>
      </c>
      <c r="D86" s="19" t="s">
        <v>132</v>
      </c>
      <c r="E86" s="8"/>
      <c r="F86" s="19" t="s">
        <v>127</v>
      </c>
      <c r="G86" s="19"/>
      <c r="H86" s="20">
        <v>3</v>
      </c>
      <c r="I86" s="21">
        <v>1</v>
      </c>
      <c r="J86" s="40">
        <v>1</v>
      </c>
      <c r="K86" s="40"/>
      <c r="L86" s="40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8"/>
      <c r="B87" s="19"/>
      <c r="C87" s="20" t="s">
        <v>46</v>
      </c>
      <c r="D87" s="19" t="s">
        <v>133</v>
      </c>
      <c r="E87" s="8"/>
      <c r="F87" s="19" t="s">
        <v>127</v>
      </c>
      <c r="G87" s="19"/>
      <c r="H87" s="20">
        <v>3</v>
      </c>
      <c r="I87" s="21">
        <v>1</v>
      </c>
      <c r="J87" s="40">
        <v>1</v>
      </c>
      <c r="K87" s="40"/>
      <c r="L87" s="40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8"/>
      <c r="B88" s="19"/>
      <c r="C88" s="20" t="s">
        <v>46</v>
      </c>
      <c r="D88" s="19" t="s">
        <v>134</v>
      </c>
      <c r="E88" s="8"/>
      <c r="F88" s="19" t="s">
        <v>127</v>
      </c>
      <c r="G88" s="19"/>
      <c r="H88" s="20">
        <v>3</v>
      </c>
      <c r="I88" s="21">
        <v>1</v>
      </c>
      <c r="J88" s="40">
        <v>1</v>
      </c>
      <c r="K88" s="40"/>
      <c r="L88" s="40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15"/>
      <c r="B89" s="15"/>
      <c r="C89" s="20"/>
      <c r="D89" s="19"/>
      <c r="E89" s="8"/>
      <c r="F89" s="19"/>
      <c r="G89" s="19"/>
      <c r="H89" s="24"/>
      <c r="I89" s="21"/>
      <c r="J89" s="40"/>
      <c r="K89" s="40"/>
      <c r="L89" s="40">
        <f>SUM(J52:J88)</f>
        <v>25.000000000000007</v>
      </c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51">
      <c r="A90" s="22" t="s">
        <v>34</v>
      </c>
      <c r="B90" s="22" t="s">
        <v>35</v>
      </c>
      <c r="C90" s="18" t="s">
        <v>36</v>
      </c>
      <c r="D90" s="22" t="s">
        <v>37</v>
      </c>
      <c r="E90" s="22" t="s">
        <v>38</v>
      </c>
      <c r="F90" s="22" t="s">
        <v>39</v>
      </c>
      <c r="G90" s="22" t="s">
        <v>40</v>
      </c>
      <c r="H90" s="22" t="s">
        <v>7</v>
      </c>
      <c r="I90" s="23" t="s">
        <v>41</v>
      </c>
      <c r="J90" s="42" t="s">
        <v>135</v>
      </c>
      <c r="K90" s="42" t="s">
        <v>43</v>
      </c>
      <c r="L90" s="42">
        <f>IFERROR(SUM($I$90:$I$129), 0)</f>
        <v>6.9999999999999991</v>
      </c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51">
      <c r="A91" s="8" t="s">
        <v>136</v>
      </c>
      <c r="B91" s="19" t="s">
        <v>137</v>
      </c>
      <c r="C91" s="20"/>
      <c r="D91" s="19"/>
      <c r="E91" s="8"/>
      <c r="F91" s="19"/>
      <c r="G91" s="19"/>
      <c r="H91" s="20"/>
      <c r="I91" s="21"/>
      <c r="J91" s="40"/>
      <c r="K91" s="40"/>
      <c r="L91" s="40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25.5">
      <c r="A92" s="8"/>
      <c r="B92" s="19"/>
      <c r="C92" s="20" t="s">
        <v>46</v>
      </c>
      <c r="D92" s="19" t="s">
        <v>138</v>
      </c>
      <c r="E92" s="8"/>
      <c r="F92" s="19"/>
      <c r="G92" s="19"/>
      <c r="H92" s="20">
        <v>5</v>
      </c>
      <c r="I92" s="21">
        <v>0.5</v>
      </c>
      <c r="J92" s="40">
        <v>0.5</v>
      </c>
      <c r="K92" s="40"/>
      <c r="L92" s="40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30" customHeight="1">
      <c r="A93" s="8"/>
      <c r="B93" s="19"/>
      <c r="C93" s="20" t="s">
        <v>46</v>
      </c>
      <c r="D93" s="19" t="s">
        <v>139</v>
      </c>
      <c r="E93" s="8"/>
      <c r="F93" s="19"/>
      <c r="G93" s="19"/>
      <c r="H93" s="20">
        <v>5</v>
      </c>
      <c r="I93" s="21">
        <v>0.2</v>
      </c>
      <c r="J93" s="40">
        <v>0.2</v>
      </c>
      <c r="K93" s="40"/>
      <c r="L93" s="40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25.5">
      <c r="A94" s="8"/>
      <c r="B94" s="19"/>
      <c r="C94" s="20" t="s">
        <v>46</v>
      </c>
      <c r="D94" s="19" t="s">
        <v>140</v>
      </c>
      <c r="E94" s="8"/>
      <c r="F94" s="19"/>
      <c r="G94" s="19"/>
      <c r="H94" s="20">
        <v>5</v>
      </c>
      <c r="I94" s="21">
        <v>0.5</v>
      </c>
      <c r="J94" s="40">
        <v>0</v>
      </c>
      <c r="K94" s="40"/>
      <c r="L94" s="40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38.25">
      <c r="A95" s="8"/>
      <c r="B95" s="19"/>
      <c r="C95" s="20" t="s">
        <v>46</v>
      </c>
      <c r="D95" s="19" t="s">
        <v>141</v>
      </c>
      <c r="E95" s="8"/>
      <c r="F95" s="19"/>
      <c r="G95" s="19"/>
      <c r="H95" s="20">
        <v>5</v>
      </c>
      <c r="I95" s="21">
        <v>0.3</v>
      </c>
      <c r="J95" s="40">
        <v>0.3</v>
      </c>
      <c r="K95" s="40"/>
      <c r="L95" s="40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38.25">
      <c r="A96" s="8"/>
      <c r="B96" s="19"/>
      <c r="C96" s="20" t="s">
        <v>46</v>
      </c>
      <c r="D96" s="19" t="s">
        <v>142</v>
      </c>
      <c r="E96" s="8"/>
      <c r="F96" s="19"/>
      <c r="G96" s="19"/>
      <c r="H96" s="20">
        <v>5</v>
      </c>
      <c r="I96" s="21">
        <v>0.4</v>
      </c>
      <c r="J96" s="40">
        <v>0</v>
      </c>
      <c r="K96" s="40"/>
      <c r="L96" s="40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25.5">
      <c r="A97" s="8"/>
      <c r="B97" s="19"/>
      <c r="C97" s="20" t="s">
        <v>46</v>
      </c>
      <c r="D97" s="19" t="s">
        <v>143</v>
      </c>
      <c r="E97" s="8"/>
      <c r="F97" s="19"/>
      <c r="G97" s="19"/>
      <c r="H97" s="20">
        <v>5</v>
      </c>
      <c r="I97" s="21">
        <v>0.5</v>
      </c>
      <c r="J97" s="40">
        <v>0</v>
      </c>
      <c r="K97" s="40"/>
      <c r="L97" s="40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51">
      <c r="A98" s="8"/>
      <c r="B98" s="19"/>
      <c r="C98" s="20" t="s">
        <v>46</v>
      </c>
      <c r="D98" s="19" t="s">
        <v>144</v>
      </c>
      <c r="E98" s="8"/>
      <c r="F98" s="19"/>
      <c r="G98" s="19"/>
      <c r="H98" s="20">
        <v>5</v>
      </c>
      <c r="I98" s="21">
        <v>0.5</v>
      </c>
      <c r="J98" s="40">
        <v>0.5</v>
      </c>
      <c r="K98" s="40"/>
      <c r="L98" s="40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25.5">
      <c r="A99" s="8"/>
      <c r="B99" s="19"/>
      <c r="C99" s="20" t="s">
        <v>46</v>
      </c>
      <c r="D99" s="19" t="s">
        <v>145</v>
      </c>
      <c r="E99" s="8"/>
      <c r="F99" s="19"/>
      <c r="G99" s="19"/>
      <c r="H99" s="20">
        <v>5</v>
      </c>
      <c r="I99" s="21">
        <v>0.2</v>
      </c>
      <c r="J99" s="40">
        <v>0.2</v>
      </c>
      <c r="K99" s="40"/>
      <c r="L99" s="40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25.5">
      <c r="A100" s="8" t="s">
        <v>146</v>
      </c>
      <c r="B100" s="19" t="s">
        <v>147</v>
      </c>
      <c r="C100" s="20"/>
      <c r="D100" s="19"/>
      <c r="E100" s="8"/>
      <c r="F100" s="19"/>
      <c r="G100" s="19"/>
      <c r="H100" s="20"/>
      <c r="I100" s="21"/>
      <c r="J100" s="40"/>
      <c r="K100" s="40"/>
      <c r="L100" s="40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38.25">
      <c r="A101" s="8"/>
      <c r="B101" s="19"/>
      <c r="C101" s="20" t="s">
        <v>46</v>
      </c>
      <c r="D101" s="19" t="s">
        <v>148</v>
      </c>
      <c r="E101" s="8"/>
      <c r="F101" s="19" t="s">
        <v>149</v>
      </c>
      <c r="G101" s="19"/>
      <c r="H101" s="20">
        <v>5</v>
      </c>
      <c r="I101" s="21">
        <v>0.5</v>
      </c>
      <c r="J101" s="40">
        <v>0.5</v>
      </c>
      <c r="K101" s="40"/>
      <c r="L101" s="40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8"/>
      <c r="B102" s="19"/>
      <c r="C102" s="20" t="s">
        <v>46</v>
      </c>
      <c r="D102" s="19" t="s">
        <v>150</v>
      </c>
      <c r="E102" s="8"/>
      <c r="F102" s="19" t="s">
        <v>151</v>
      </c>
      <c r="G102" s="19"/>
      <c r="H102" s="20">
        <v>5</v>
      </c>
      <c r="I102" s="21">
        <v>0.5</v>
      </c>
      <c r="J102" s="40">
        <v>0.5</v>
      </c>
      <c r="K102" s="40"/>
      <c r="L102" s="40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8"/>
      <c r="B103" s="19"/>
      <c r="C103" s="20" t="s">
        <v>46</v>
      </c>
      <c r="D103" s="19" t="s">
        <v>152</v>
      </c>
      <c r="E103" s="8"/>
      <c r="F103" s="19" t="s">
        <v>151</v>
      </c>
      <c r="G103" s="19"/>
      <c r="H103" s="20">
        <v>5</v>
      </c>
      <c r="I103" s="21">
        <v>0.1</v>
      </c>
      <c r="J103" s="40">
        <v>0.1</v>
      </c>
      <c r="K103" s="40"/>
      <c r="L103" s="40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8"/>
      <c r="B104" s="19"/>
      <c r="C104" s="20" t="s">
        <v>65</v>
      </c>
      <c r="D104" s="19" t="s">
        <v>153</v>
      </c>
      <c r="E104" s="8"/>
      <c r="F104" s="19"/>
      <c r="G104" s="19"/>
      <c r="H104" s="20">
        <v>5</v>
      </c>
      <c r="I104" s="21">
        <v>0.3</v>
      </c>
      <c r="J104" s="40">
        <v>0.3</v>
      </c>
      <c r="K104" s="40"/>
      <c r="L104" s="40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8"/>
      <c r="B105" s="19"/>
      <c r="C105" s="20"/>
      <c r="D105" s="19"/>
      <c r="E105" s="8">
        <v>0</v>
      </c>
      <c r="F105" s="19" t="s">
        <v>154</v>
      </c>
      <c r="G105" s="19"/>
      <c r="H105" s="20"/>
      <c r="I105" s="21"/>
      <c r="J105" s="40"/>
      <c r="K105" s="40"/>
      <c r="L105" s="40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25.5">
      <c r="A106" s="8"/>
      <c r="B106" s="19"/>
      <c r="C106" s="20"/>
      <c r="D106" s="19"/>
      <c r="E106" s="8">
        <v>1</v>
      </c>
      <c r="F106" s="19" t="s">
        <v>155</v>
      </c>
      <c r="G106" s="19"/>
      <c r="H106" s="20"/>
      <c r="I106" s="21"/>
      <c r="J106" s="40"/>
      <c r="K106" s="40"/>
      <c r="L106" s="40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25.5">
      <c r="A107" s="8"/>
      <c r="B107" s="19"/>
      <c r="C107" s="20"/>
      <c r="D107" s="19"/>
      <c r="E107" s="8">
        <v>2</v>
      </c>
      <c r="F107" s="19" t="s">
        <v>156</v>
      </c>
      <c r="G107" s="19"/>
      <c r="H107" s="20"/>
      <c r="I107" s="21"/>
      <c r="J107" s="40"/>
      <c r="K107" s="40"/>
      <c r="L107" s="40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8"/>
      <c r="B108" s="19"/>
      <c r="C108" s="20"/>
      <c r="D108" s="19"/>
      <c r="E108" s="8">
        <v>3</v>
      </c>
      <c r="F108" s="19" t="s">
        <v>157</v>
      </c>
      <c r="G108" s="19"/>
      <c r="H108" s="20"/>
      <c r="I108" s="21"/>
      <c r="J108" s="40"/>
      <c r="K108" s="40"/>
      <c r="L108" s="40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25.5">
      <c r="A109" s="8" t="s">
        <v>158</v>
      </c>
      <c r="B109" s="19" t="s">
        <v>159</v>
      </c>
      <c r="C109" s="20"/>
      <c r="D109" s="19"/>
      <c r="E109" s="8"/>
      <c r="F109" s="19"/>
      <c r="G109" s="19"/>
      <c r="H109" s="20"/>
      <c r="I109" s="21"/>
      <c r="J109" s="40"/>
      <c r="K109" s="40"/>
      <c r="L109" s="40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25.5">
      <c r="A110" s="8"/>
      <c r="B110" s="19"/>
      <c r="C110" s="20" t="s">
        <v>46</v>
      </c>
      <c r="D110" s="19" t="s">
        <v>160</v>
      </c>
      <c r="E110" s="8"/>
      <c r="F110" s="19" t="s">
        <v>161</v>
      </c>
      <c r="G110" s="19"/>
      <c r="H110" s="20">
        <v>1</v>
      </c>
      <c r="I110" s="21">
        <v>0.5</v>
      </c>
      <c r="J110" s="40">
        <v>0.5</v>
      </c>
      <c r="K110" s="40"/>
      <c r="L110" s="40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8"/>
      <c r="B111" s="19"/>
      <c r="C111" s="20" t="s">
        <v>46</v>
      </c>
      <c r="D111" s="19" t="s">
        <v>162</v>
      </c>
      <c r="E111" s="8"/>
      <c r="F111" s="19"/>
      <c r="G111" s="19"/>
      <c r="H111" s="20">
        <v>3</v>
      </c>
      <c r="I111" s="21">
        <v>0.5</v>
      </c>
      <c r="J111" s="40">
        <v>0.5</v>
      </c>
      <c r="K111" s="40"/>
      <c r="L111" s="40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25.5">
      <c r="A112" s="8" t="s">
        <v>163</v>
      </c>
      <c r="B112" s="19" t="s">
        <v>164</v>
      </c>
      <c r="C112" s="20"/>
      <c r="D112" s="19"/>
      <c r="E112" s="8"/>
      <c r="F112" s="19"/>
      <c r="G112" s="19"/>
      <c r="H112" s="20"/>
      <c r="I112" s="21"/>
      <c r="J112" s="40"/>
      <c r="K112" s="40"/>
      <c r="L112" s="40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25.5">
      <c r="A113" s="8"/>
      <c r="B113" s="19"/>
      <c r="C113" s="20" t="s">
        <v>46</v>
      </c>
      <c r="D113" s="19" t="s">
        <v>165</v>
      </c>
      <c r="E113" s="8"/>
      <c r="F113" s="19"/>
      <c r="G113" s="19"/>
      <c r="H113" s="20">
        <v>3</v>
      </c>
      <c r="I113" s="21">
        <v>0.2</v>
      </c>
      <c r="J113" s="40">
        <v>0</v>
      </c>
      <c r="K113" s="40"/>
      <c r="L113" s="40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25.5">
      <c r="A114" s="8"/>
      <c r="B114" s="19"/>
      <c r="C114" s="20" t="s">
        <v>46</v>
      </c>
      <c r="D114" s="19" t="s">
        <v>166</v>
      </c>
      <c r="E114" s="8"/>
      <c r="F114" s="19"/>
      <c r="G114" s="19"/>
      <c r="H114" s="20">
        <v>3</v>
      </c>
      <c r="I114" s="21">
        <v>0.2</v>
      </c>
      <c r="J114" s="40">
        <v>0.2</v>
      </c>
      <c r="K114" s="40"/>
      <c r="L114" s="40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25.5">
      <c r="A115" s="8"/>
      <c r="B115" s="19"/>
      <c r="C115" s="20" t="s">
        <v>65</v>
      </c>
      <c r="D115" s="19" t="s">
        <v>167</v>
      </c>
      <c r="E115" s="8"/>
      <c r="F115" s="19"/>
      <c r="G115" s="19"/>
      <c r="H115" s="20">
        <v>3</v>
      </c>
      <c r="I115" s="21">
        <v>0.5</v>
      </c>
      <c r="J115" s="40">
        <v>0.5</v>
      </c>
      <c r="K115" s="40"/>
      <c r="L115" s="40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8"/>
      <c r="B116" s="19"/>
      <c r="C116" s="20"/>
      <c r="D116" s="19"/>
      <c r="E116" s="8">
        <v>0</v>
      </c>
      <c r="F116" s="19" t="s">
        <v>168</v>
      </c>
      <c r="G116" s="19"/>
      <c r="H116" s="20"/>
      <c r="I116" s="21"/>
      <c r="J116" s="40"/>
      <c r="K116" s="40"/>
      <c r="L116" s="40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38.25">
      <c r="A117" s="8"/>
      <c r="B117" s="19"/>
      <c r="C117" s="20"/>
      <c r="D117" s="19"/>
      <c r="E117" s="8">
        <v>1</v>
      </c>
      <c r="F117" s="19" t="s">
        <v>169</v>
      </c>
      <c r="G117" s="19"/>
      <c r="H117" s="20"/>
      <c r="I117" s="21"/>
      <c r="J117" s="40"/>
      <c r="K117" s="40"/>
      <c r="L117" s="40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63.75">
      <c r="A118" s="8"/>
      <c r="B118" s="19"/>
      <c r="C118" s="20"/>
      <c r="D118" s="19"/>
      <c r="E118" s="8">
        <v>2</v>
      </c>
      <c r="F118" s="19" t="s">
        <v>170</v>
      </c>
      <c r="G118" s="19"/>
      <c r="H118" s="20"/>
      <c r="I118" s="21"/>
      <c r="J118" s="40"/>
      <c r="K118" s="40"/>
      <c r="L118" s="40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89.25">
      <c r="A119" s="8"/>
      <c r="B119" s="19"/>
      <c r="C119" s="20"/>
      <c r="D119" s="19"/>
      <c r="E119" s="8">
        <v>3</v>
      </c>
      <c r="F119" s="19" t="s">
        <v>171</v>
      </c>
      <c r="G119" s="19"/>
      <c r="H119" s="20"/>
      <c r="I119" s="21"/>
      <c r="J119" s="40"/>
      <c r="K119" s="40"/>
      <c r="L119" s="40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25.5">
      <c r="A120" s="8" t="s">
        <v>172</v>
      </c>
      <c r="B120" s="19" t="s">
        <v>173</v>
      </c>
      <c r="C120" s="20"/>
      <c r="D120" s="19"/>
      <c r="E120" s="8"/>
      <c r="F120" s="19"/>
      <c r="G120" s="19"/>
      <c r="H120" s="20"/>
      <c r="I120" s="21"/>
      <c r="J120" s="40"/>
      <c r="K120" s="40"/>
      <c r="L120" s="40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8"/>
      <c r="B121" s="19"/>
      <c r="C121" s="20" t="s">
        <v>46</v>
      </c>
      <c r="D121" s="19" t="s">
        <v>174</v>
      </c>
      <c r="E121" s="8"/>
      <c r="F121" s="19"/>
      <c r="G121" s="19"/>
      <c r="H121" s="20">
        <v>3</v>
      </c>
      <c r="I121" s="21">
        <v>0.1</v>
      </c>
      <c r="J121" s="40">
        <v>0</v>
      </c>
      <c r="K121" s="40"/>
      <c r="L121" s="40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25.5">
      <c r="A122" s="8"/>
      <c r="B122" s="19"/>
      <c r="C122" s="20" t="s">
        <v>46</v>
      </c>
      <c r="D122" s="19" t="s">
        <v>175</v>
      </c>
      <c r="E122" s="8"/>
      <c r="F122" s="19" t="s">
        <v>176</v>
      </c>
      <c r="G122" s="19"/>
      <c r="H122" s="20">
        <v>3</v>
      </c>
      <c r="I122" s="21">
        <v>0.2</v>
      </c>
      <c r="J122" s="40">
        <v>0</v>
      </c>
      <c r="K122" s="40"/>
      <c r="L122" s="40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36.75" customHeight="1">
      <c r="A123" s="8"/>
      <c r="B123" s="19"/>
      <c r="C123" s="20" t="s">
        <v>65</v>
      </c>
      <c r="D123" s="19" t="s">
        <v>177</v>
      </c>
      <c r="E123" s="8"/>
      <c r="F123" s="19"/>
      <c r="G123" s="19"/>
      <c r="H123" s="20">
        <v>3</v>
      </c>
      <c r="I123" s="21">
        <v>0.3</v>
      </c>
      <c r="J123" s="40">
        <v>0.3</v>
      </c>
      <c r="K123" s="40"/>
      <c r="L123" s="40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8"/>
      <c r="B124" s="19"/>
      <c r="C124" s="20"/>
      <c r="D124" s="19"/>
      <c r="E124" s="8">
        <v>0</v>
      </c>
      <c r="F124" s="19" t="s">
        <v>178</v>
      </c>
      <c r="G124" s="19"/>
      <c r="H124" s="20"/>
      <c r="I124" s="21"/>
      <c r="J124" s="40"/>
      <c r="K124" s="40"/>
      <c r="L124" s="40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25.5">
      <c r="A125" s="8"/>
      <c r="B125" s="19"/>
      <c r="C125" s="20"/>
      <c r="D125" s="19"/>
      <c r="E125" s="8">
        <v>1</v>
      </c>
      <c r="F125" s="19" t="s">
        <v>179</v>
      </c>
      <c r="G125" s="19"/>
      <c r="H125" s="20"/>
      <c r="I125" s="21"/>
      <c r="J125" s="40"/>
      <c r="K125" s="40"/>
      <c r="L125" s="40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8"/>
      <c r="B126" s="19"/>
      <c r="C126" s="20"/>
      <c r="D126" s="19"/>
      <c r="E126" s="8">
        <v>2</v>
      </c>
      <c r="F126" s="19" t="s">
        <v>180</v>
      </c>
      <c r="G126" s="19"/>
      <c r="H126" s="20"/>
      <c r="I126" s="21"/>
      <c r="J126" s="40"/>
      <c r="K126" s="40"/>
      <c r="L126" s="40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25.5">
      <c r="A127" s="8"/>
      <c r="B127" s="19"/>
      <c r="C127" s="20"/>
      <c r="D127" s="19"/>
      <c r="E127" s="8">
        <v>3</v>
      </c>
      <c r="F127" s="19" t="s">
        <v>181</v>
      </c>
      <c r="G127" s="19"/>
      <c r="H127" s="20"/>
      <c r="I127" s="21"/>
      <c r="J127" s="40"/>
      <c r="K127" s="40"/>
      <c r="L127" s="40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15"/>
      <c r="B128" s="15"/>
      <c r="C128" s="20"/>
      <c r="D128" s="19"/>
      <c r="E128" s="8"/>
      <c r="F128" s="19"/>
      <c r="G128" s="19"/>
      <c r="H128" s="24"/>
      <c r="I128" s="21"/>
      <c r="J128" s="40"/>
      <c r="K128" s="40"/>
      <c r="L128" s="40">
        <f>SUM(J92:J123)</f>
        <v>5.0999999999999996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51">
      <c r="A129" s="22" t="s">
        <v>34</v>
      </c>
      <c r="B129" s="22" t="s">
        <v>35</v>
      </c>
      <c r="C129" s="18" t="s">
        <v>36</v>
      </c>
      <c r="D129" s="22" t="s">
        <v>37</v>
      </c>
      <c r="E129" s="22" t="s">
        <v>38</v>
      </c>
      <c r="F129" s="22" t="s">
        <v>39</v>
      </c>
      <c r="G129" s="22" t="s">
        <v>40</v>
      </c>
      <c r="H129" s="22" t="s">
        <v>7</v>
      </c>
      <c r="I129" s="23" t="s">
        <v>41</v>
      </c>
      <c r="J129" s="42" t="s">
        <v>182</v>
      </c>
      <c r="K129" s="42" t="s">
        <v>43</v>
      </c>
      <c r="L129" s="42">
        <f>IFERROR(SUM($I$129:$I$142), 0)</f>
        <v>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8" t="s">
        <v>183</v>
      </c>
      <c r="B130" s="19" t="s">
        <v>184</v>
      </c>
      <c r="C130" s="20"/>
      <c r="D130" s="19"/>
      <c r="E130" s="8"/>
      <c r="F130" s="19"/>
      <c r="G130" s="19"/>
      <c r="H130" s="20"/>
      <c r="I130" s="21"/>
      <c r="J130" s="40"/>
      <c r="K130" s="40"/>
      <c r="L130" s="40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25.5">
      <c r="A131" s="8"/>
      <c r="B131" s="19"/>
      <c r="C131" s="20" t="s">
        <v>46</v>
      </c>
      <c r="D131" s="19" t="s">
        <v>185</v>
      </c>
      <c r="E131" s="8"/>
      <c r="F131" s="19"/>
      <c r="G131" s="19"/>
      <c r="H131" s="20">
        <v>2</v>
      </c>
      <c r="I131" s="21">
        <v>0.5</v>
      </c>
      <c r="J131" s="40">
        <v>0.5</v>
      </c>
      <c r="K131" s="40"/>
      <c r="L131" s="40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25.5">
      <c r="A132" s="8"/>
      <c r="B132" s="19"/>
      <c r="C132" s="20" t="s">
        <v>46</v>
      </c>
      <c r="D132" s="19" t="s">
        <v>186</v>
      </c>
      <c r="E132" s="8"/>
      <c r="F132" s="19" t="s">
        <v>187</v>
      </c>
      <c r="G132" s="19"/>
      <c r="H132" s="20">
        <v>2</v>
      </c>
      <c r="I132" s="21">
        <v>0.5</v>
      </c>
      <c r="J132" s="40">
        <v>0.2</v>
      </c>
      <c r="K132" s="40"/>
      <c r="L132" s="40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8"/>
      <c r="B133" s="19"/>
      <c r="C133" s="20" t="s">
        <v>65</v>
      </c>
      <c r="D133" s="19" t="s">
        <v>188</v>
      </c>
      <c r="E133" s="8"/>
      <c r="F133" s="19"/>
      <c r="G133" s="19"/>
      <c r="H133" s="20">
        <v>2</v>
      </c>
      <c r="I133" s="21">
        <v>2</v>
      </c>
      <c r="J133" s="40">
        <v>2</v>
      </c>
      <c r="K133" s="40"/>
      <c r="L133" s="40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51">
      <c r="A134" s="8"/>
      <c r="B134" s="19"/>
      <c r="C134" s="20"/>
      <c r="D134" s="19"/>
      <c r="E134" s="8">
        <v>0</v>
      </c>
      <c r="F134" s="19" t="s">
        <v>189</v>
      </c>
      <c r="G134" s="19"/>
      <c r="H134" s="20"/>
      <c r="I134" s="21"/>
      <c r="J134" s="40"/>
      <c r="K134" s="40"/>
      <c r="L134" s="40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38.25">
      <c r="A135" s="8"/>
      <c r="B135" s="19"/>
      <c r="C135" s="20"/>
      <c r="D135" s="19"/>
      <c r="E135" s="8">
        <v>1</v>
      </c>
      <c r="F135" s="19" t="s">
        <v>190</v>
      </c>
      <c r="G135" s="19"/>
      <c r="H135" s="20"/>
      <c r="I135" s="21"/>
      <c r="J135" s="40"/>
      <c r="K135" s="40"/>
      <c r="L135" s="40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51">
      <c r="A136" s="8"/>
      <c r="B136" s="19"/>
      <c r="C136" s="20"/>
      <c r="D136" s="19"/>
      <c r="E136" s="8">
        <v>2</v>
      </c>
      <c r="F136" s="19" t="s">
        <v>191</v>
      </c>
      <c r="G136" s="19"/>
      <c r="H136" s="20"/>
      <c r="I136" s="21"/>
      <c r="J136" s="40"/>
      <c r="K136" s="40"/>
      <c r="L136" s="40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8"/>
      <c r="B137" s="19"/>
      <c r="C137" s="20"/>
      <c r="D137" s="19"/>
      <c r="E137" s="8">
        <v>3</v>
      </c>
      <c r="F137" s="19" t="s">
        <v>192</v>
      </c>
      <c r="G137" s="19"/>
      <c r="H137" s="20"/>
      <c r="I137" s="21"/>
      <c r="J137" s="40"/>
      <c r="K137" s="40"/>
      <c r="L137" s="40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8"/>
      <c r="B138" s="19"/>
      <c r="C138" s="20" t="s">
        <v>65</v>
      </c>
      <c r="D138" s="19" t="s">
        <v>193</v>
      </c>
      <c r="E138" s="8"/>
      <c r="F138" s="19"/>
      <c r="G138" s="19"/>
      <c r="H138" s="20">
        <v>4</v>
      </c>
      <c r="I138" s="21">
        <v>2</v>
      </c>
      <c r="J138" s="40">
        <v>2</v>
      </c>
      <c r="K138" s="40"/>
      <c r="L138" s="40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8"/>
      <c r="B139" s="19"/>
      <c r="C139" s="20"/>
      <c r="D139" s="19"/>
      <c r="E139" s="8">
        <v>0</v>
      </c>
      <c r="F139" s="19" t="s">
        <v>194</v>
      </c>
      <c r="G139" s="19"/>
      <c r="H139" s="20"/>
      <c r="I139" s="21"/>
      <c r="J139" s="40"/>
      <c r="K139" s="40"/>
      <c r="L139" s="40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25.5">
      <c r="A140" s="8"/>
      <c r="B140" s="19"/>
      <c r="C140" s="20"/>
      <c r="D140" s="19"/>
      <c r="E140" s="8">
        <v>1</v>
      </c>
      <c r="F140" s="19" t="s">
        <v>195</v>
      </c>
      <c r="G140" s="19"/>
      <c r="H140" s="20"/>
      <c r="I140" s="21"/>
      <c r="J140" s="40"/>
      <c r="K140" s="40"/>
      <c r="L140" s="40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25.5">
      <c r="A141" s="8"/>
      <c r="B141" s="19"/>
      <c r="C141" s="20"/>
      <c r="D141" s="19"/>
      <c r="E141" s="8">
        <v>2</v>
      </c>
      <c r="F141" s="19" t="s">
        <v>196</v>
      </c>
      <c r="G141" s="19"/>
      <c r="H141" s="20"/>
      <c r="I141" s="21"/>
      <c r="J141" s="40"/>
      <c r="K141" s="40"/>
      <c r="L141" s="40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38.25">
      <c r="A142" s="8"/>
      <c r="B142" s="19"/>
      <c r="C142" s="20"/>
      <c r="D142" s="19"/>
      <c r="E142" s="8">
        <v>3</v>
      </c>
      <c r="F142" s="19" t="s">
        <v>197</v>
      </c>
      <c r="G142" s="19"/>
      <c r="H142" s="20"/>
      <c r="I142" s="21"/>
      <c r="J142" s="40"/>
      <c r="K142" s="40">
        <f>SUM(J131:J138)</f>
        <v>4.7</v>
      </c>
      <c r="L142" s="40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25.5">
      <c r="A143" s="15"/>
      <c r="B143" s="15"/>
      <c r="C143" s="20"/>
      <c r="D143" s="19"/>
      <c r="E143" s="8"/>
      <c r="F143" s="19"/>
      <c r="G143" s="19"/>
      <c r="H143" s="20"/>
      <c r="I143" s="25"/>
      <c r="J143" s="43" t="s">
        <v>198</v>
      </c>
      <c r="K143" s="43" t="s">
        <v>43</v>
      </c>
      <c r="L143" s="46">
        <f>IFERROR(SUM(I:I), 0)</f>
        <v>49.999999999999986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15"/>
      <c r="B144" s="15"/>
      <c r="C144" s="20"/>
      <c r="D144" s="19"/>
      <c r="E144" s="8"/>
      <c r="F144" s="19"/>
      <c r="G144" s="19"/>
      <c r="H144" s="24"/>
      <c r="I144" s="25"/>
      <c r="J144" s="40"/>
      <c r="K144" s="40"/>
      <c r="L144" s="40">
        <f>SUM(L49,L89,L128,K142)</f>
        <v>46.800000000000011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4"/>
      <c r="B145" s="4"/>
      <c r="C145" s="4"/>
      <c r="D145" s="4"/>
      <c r="E145" s="5"/>
      <c r="F145" s="4"/>
      <c r="G145" s="4"/>
      <c r="H145" s="4"/>
      <c r="I145" s="7"/>
      <c r="J145" s="40"/>
      <c r="K145" s="40"/>
      <c r="L145" s="40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4"/>
      <c r="B146" s="4"/>
      <c r="C146" s="4"/>
      <c r="D146" s="4"/>
      <c r="E146" s="5"/>
      <c r="F146" s="4"/>
      <c r="G146" s="4"/>
      <c r="H146" s="4"/>
      <c r="I146" s="7"/>
      <c r="J146" s="40"/>
      <c r="K146" s="40"/>
      <c r="L146" s="40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4"/>
      <c r="B147" s="4"/>
      <c r="C147" s="4"/>
      <c r="D147" s="4"/>
      <c r="E147" s="5"/>
      <c r="F147" s="4"/>
      <c r="G147" s="4"/>
      <c r="H147" s="4"/>
      <c r="I147" s="7"/>
      <c r="J147" s="40"/>
      <c r="K147" s="40"/>
      <c r="L147" s="40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4"/>
      <c r="B148" s="4"/>
      <c r="C148" s="4"/>
      <c r="D148" s="4"/>
      <c r="E148" s="5"/>
      <c r="F148" s="4"/>
      <c r="G148" s="4"/>
      <c r="H148" s="4"/>
      <c r="I148" s="7"/>
      <c r="J148" s="40"/>
      <c r="K148" s="40"/>
      <c r="L148" s="40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4"/>
      <c r="B149" s="4"/>
      <c r="C149" s="4"/>
      <c r="D149" s="4"/>
      <c r="E149" s="5"/>
      <c r="F149" s="4"/>
      <c r="G149" s="4"/>
      <c r="H149" s="4"/>
      <c r="I149" s="7"/>
      <c r="J149" s="40"/>
      <c r="K149" s="40"/>
      <c r="L149" s="40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4"/>
      <c r="B150" s="4"/>
      <c r="C150" s="4"/>
      <c r="D150" s="4"/>
      <c r="E150" s="5"/>
      <c r="F150" s="4"/>
      <c r="G150" s="4"/>
      <c r="H150" s="4"/>
      <c r="I150" s="7"/>
      <c r="J150" s="40"/>
      <c r="K150" s="40"/>
      <c r="L150" s="40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4"/>
      <c r="B151" s="4"/>
      <c r="C151" s="4"/>
      <c r="D151" s="4"/>
      <c r="E151" s="5"/>
      <c r="F151" s="4"/>
      <c r="G151" s="4"/>
      <c r="H151" s="4"/>
      <c r="I151" s="7"/>
      <c r="J151" s="40"/>
      <c r="K151" s="40"/>
      <c r="L151" s="40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4"/>
      <c r="B152" s="4"/>
      <c r="C152" s="4"/>
      <c r="D152" s="4"/>
      <c r="E152" s="5"/>
      <c r="F152" s="4"/>
      <c r="G152" s="4"/>
      <c r="H152" s="4"/>
      <c r="I152" s="7"/>
      <c r="J152" s="40"/>
      <c r="K152" s="40"/>
      <c r="L152" s="40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4"/>
      <c r="B153" s="4"/>
      <c r="C153" s="4"/>
      <c r="D153" s="4"/>
      <c r="E153" s="5"/>
      <c r="F153" s="4"/>
      <c r="G153" s="4"/>
      <c r="H153" s="4"/>
      <c r="I153" s="7"/>
      <c r="J153" s="40"/>
      <c r="K153" s="40"/>
      <c r="L153" s="40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4"/>
      <c r="B154" s="4"/>
      <c r="C154" s="4"/>
      <c r="D154" s="4"/>
      <c r="E154" s="5"/>
      <c r="F154" s="4"/>
      <c r="G154" s="4"/>
      <c r="H154" s="4"/>
      <c r="I154" s="7"/>
      <c r="J154" s="40"/>
      <c r="K154" s="40"/>
      <c r="L154" s="40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>
      <c r="A155" s="4"/>
      <c r="B155" s="4"/>
      <c r="C155" s="4"/>
      <c r="D155" s="4"/>
      <c r="E155" s="4"/>
      <c r="F155" s="4"/>
      <c r="G155" s="4"/>
      <c r="H155" s="4"/>
      <c r="I155" s="7"/>
      <c r="J155" s="40"/>
      <c r="K155" s="40"/>
      <c r="L155" s="40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4"/>
      <c r="B156" s="4"/>
      <c r="C156" s="4"/>
      <c r="D156" s="4"/>
      <c r="E156" s="4"/>
      <c r="F156" s="4"/>
      <c r="G156" s="4"/>
      <c r="H156" s="4"/>
      <c r="I156" s="7"/>
      <c r="J156" s="40"/>
      <c r="K156" s="40"/>
      <c r="L156" s="40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>
      <c r="A157" s="4"/>
      <c r="B157" s="4"/>
      <c r="C157" s="4"/>
      <c r="D157" s="4"/>
      <c r="E157" s="4"/>
      <c r="F157" s="4"/>
      <c r="G157" s="4"/>
      <c r="H157" s="4"/>
      <c r="I157" s="7"/>
      <c r="J157" s="40"/>
      <c r="K157" s="40"/>
      <c r="L157" s="40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4"/>
      <c r="B158" s="4"/>
      <c r="C158" s="4"/>
      <c r="D158" s="4"/>
      <c r="E158" s="4"/>
      <c r="F158" s="4"/>
      <c r="G158" s="4"/>
      <c r="H158" s="4"/>
      <c r="I158" s="7"/>
      <c r="J158" s="40"/>
      <c r="K158" s="40"/>
      <c r="L158" s="40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4"/>
      <c r="B159" s="4"/>
      <c r="C159" s="4"/>
      <c r="D159" s="4"/>
      <c r="E159" s="4"/>
      <c r="F159" s="4"/>
      <c r="G159" s="4"/>
      <c r="H159" s="4"/>
      <c r="I159" s="7"/>
      <c r="J159" s="40"/>
      <c r="K159" s="40"/>
      <c r="L159" s="40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4"/>
      <c r="B160" s="4"/>
      <c r="C160" s="4"/>
      <c r="D160" s="4"/>
      <c r="E160" s="4"/>
      <c r="F160" s="4"/>
      <c r="G160" s="4"/>
      <c r="H160" s="4"/>
      <c r="I160" s="7"/>
      <c r="J160" s="40"/>
      <c r="K160" s="40"/>
      <c r="L160" s="40"/>
      <c r="M160" s="4"/>
      <c r="N160" s="4"/>
      <c r="O160" s="4"/>
      <c r="P160" s="4"/>
      <c r="Q160" s="4"/>
      <c r="R160" s="4"/>
      <c r="S160" s="4"/>
      <c r="T160" s="4"/>
      <c r="U160" s="4"/>
      <c r="V160" s="4"/>
    </row>
  </sheetData>
  <autoFilter ref="A19:I144"/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'Справочник валидация'!$AZ$1:$AZ$2</xm:f>
          </x14:formula1>
          <x14:formula2>
            <xm:f>0</xm:f>
          </x14:formula2>
          <xm:sqref>C49 C89 C128 C143:C144</xm:sqref>
        </x14:dataValidation>
        <x14:dataValidation type="list" allowBlank="1" showErrorMessage="1">
          <x14:formula1>
            <xm:f>'Справочник валидация'!$BB$1:$BB$10</xm:f>
          </x14:formula1>
          <x14:formula2>
            <xm:f>0</xm:f>
          </x14:formula2>
          <xm:sqref>H49 H89 H128 H143:H144</xm:sqref>
        </x14:dataValidation>
        <x14:dataValidation type="list" allowBlank="1" showErrorMessage="1">
          <x14:formula1>
            <xm:f>'Справочник валидация'!$A$2:$A$261</xm:f>
          </x14:formula1>
          <x14:formula2>
            <xm:f>0</xm:f>
          </x14:formula2>
          <xm:sqref>D2</xm:sqref>
        </x14:dataValidation>
        <x14:dataValidation type="list" allowBlank="1" showErrorMessage="1">
          <x14:formula1>
            <xm:f>'Справочник валидация'!$H$1:$H$20</xm:f>
          </x14:formula1>
          <x14:formula2>
            <xm:f>0</xm:f>
          </x14:formula2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00"/>
  <sheetViews>
    <sheetView topLeftCell="A2" zoomScale="110" zoomScaleNormal="110" workbookViewId="0">
      <selection activeCell="A2" sqref="A2"/>
    </sheetView>
  </sheetViews>
  <sheetFormatPr defaultColWidth="14.42578125" defaultRowHeight="12.75"/>
  <cols>
    <col min="1" max="1" width="28.85546875" customWidth="1"/>
    <col min="2" max="2" width="18.42578125" customWidth="1"/>
  </cols>
  <sheetData>
    <row r="1" spans="1:109" ht="15.75" customHeight="1">
      <c r="A1" s="26" t="s">
        <v>199</v>
      </c>
      <c r="B1" s="26" t="s">
        <v>200</v>
      </c>
      <c r="C1" s="27"/>
      <c r="D1" s="27" t="s">
        <v>201</v>
      </c>
      <c r="E1" s="27" t="s">
        <v>202</v>
      </c>
      <c r="F1" s="28"/>
      <c r="G1" s="28" t="s">
        <v>203</v>
      </c>
      <c r="H1" t="s">
        <v>204</v>
      </c>
      <c r="I1" s="28"/>
      <c r="J1" s="28"/>
      <c r="K1" s="28"/>
      <c r="L1" s="28"/>
      <c r="M1" s="27"/>
      <c r="N1" s="27"/>
      <c r="O1" s="27" t="s">
        <v>205</v>
      </c>
      <c r="P1" s="27"/>
      <c r="Q1" s="27" t="s">
        <v>206</v>
      </c>
      <c r="R1" s="27"/>
      <c r="S1" s="27" t="s">
        <v>207</v>
      </c>
      <c r="T1" s="28"/>
      <c r="U1" s="27" t="s">
        <v>208</v>
      </c>
      <c r="V1" s="27"/>
      <c r="W1" s="27" t="s">
        <v>209</v>
      </c>
      <c r="X1" s="28"/>
      <c r="Y1" s="27" t="s">
        <v>210</v>
      </c>
      <c r="Z1" s="29" t="s">
        <v>211</v>
      </c>
      <c r="AA1" s="29" t="s">
        <v>212</v>
      </c>
      <c r="AB1" s="27"/>
      <c r="AC1" s="27" t="s">
        <v>213</v>
      </c>
      <c r="AD1" s="27"/>
      <c r="AE1" s="30" t="s">
        <v>214</v>
      </c>
      <c r="AF1" s="30" t="s">
        <v>215</v>
      </c>
      <c r="AG1" s="30" t="s">
        <v>216</v>
      </c>
      <c r="AH1" s="28"/>
      <c r="AI1" s="28"/>
      <c r="AJ1" s="28"/>
      <c r="AK1" s="28"/>
      <c r="AL1" s="28"/>
      <c r="AM1" s="28"/>
      <c r="AN1" s="28" t="s">
        <v>217</v>
      </c>
      <c r="AO1" s="27"/>
      <c r="AP1" s="27" t="s">
        <v>218</v>
      </c>
      <c r="AQ1" s="27"/>
      <c r="AR1" s="27" t="s">
        <v>219</v>
      </c>
      <c r="AS1" s="28"/>
      <c r="AT1" s="27" t="s">
        <v>220</v>
      </c>
      <c r="AU1" s="28"/>
      <c r="AV1" s="28" t="s">
        <v>221</v>
      </c>
      <c r="AW1" s="28"/>
      <c r="AX1" s="27" t="s">
        <v>222</v>
      </c>
      <c r="AY1" s="28"/>
      <c r="AZ1" s="28" t="s">
        <v>46</v>
      </c>
      <c r="BA1" s="28"/>
      <c r="BB1" s="31">
        <v>1</v>
      </c>
      <c r="BC1" s="28"/>
      <c r="BD1" s="28" t="s">
        <v>223</v>
      </c>
      <c r="BE1" s="27"/>
      <c r="BF1" s="27" t="s">
        <v>224</v>
      </c>
      <c r="BG1" s="28"/>
      <c r="BH1" s="28" t="s">
        <v>225</v>
      </c>
      <c r="BI1" s="28"/>
      <c r="BJ1" s="27" t="s">
        <v>226</v>
      </c>
      <c r="BK1" s="28"/>
      <c r="BL1" s="28"/>
      <c r="BM1" s="28" t="s">
        <v>227</v>
      </c>
      <c r="BN1" s="28"/>
      <c r="BO1" s="28" t="s">
        <v>228</v>
      </c>
      <c r="BP1" s="27"/>
      <c r="BQ1" s="32" t="s">
        <v>229</v>
      </c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28"/>
    </row>
    <row r="2" spans="1:109" ht="15.75" customHeight="1">
      <c r="A2" s="34" t="s">
        <v>230</v>
      </c>
      <c r="B2" s="35" t="s">
        <v>231</v>
      </c>
      <c r="C2" s="28"/>
      <c r="D2" s="28" t="s">
        <v>232</v>
      </c>
      <c r="E2" s="28" t="s">
        <v>233</v>
      </c>
      <c r="F2" s="28"/>
      <c r="G2" s="28" t="s">
        <v>232</v>
      </c>
      <c r="H2" t="s">
        <v>3</v>
      </c>
      <c r="I2" s="28"/>
      <c r="J2" s="28"/>
      <c r="K2" s="28"/>
      <c r="L2" s="28"/>
      <c r="M2" s="27"/>
      <c r="N2" s="27"/>
      <c r="O2" s="27" t="s">
        <v>234</v>
      </c>
      <c r="P2" s="28"/>
      <c r="Q2" s="31">
        <v>1</v>
      </c>
      <c r="R2" s="31">
        <v>1</v>
      </c>
      <c r="S2" s="31" t="s">
        <v>235</v>
      </c>
      <c r="T2" s="27"/>
      <c r="U2" s="27" t="s">
        <v>236</v>
      </c>
      <c r="V2" s="27"/>
      <c r="W2" s="27" t="s">
        <v>237</v>
      </c>
      <c r="X2" s="27"/>
      <c r="Y2" s="27" t="s">
        <v>223</v>
      </c>
      <c r="Z2" s="36" t="s">
        <v>238</v>
      </c>
      <c r="AA2" s="36" t="s">
        <v>239</v>
      </c>
      <c r="AB2" s="27"/>
      <c r="AC2" s="27" t="s">
        <v>240</v>
      </c>
      <c r="AD2" s="27"/>
      <c r="AE2" s="37">
        <v>1</v>
      </c>
      <c r="AF2" s="37">
        <v>2</v>
      </c>
      <c r="AG2" s="37">
        <v>3</v>
      </c>
      <c r="AH2" s="28"/>
      <c r="AI2" s="28"/>
      <c r="AJ2" s="28"/>
      <c r="AK2" s="28"/>
      <c r="AL2" s="28"/>
      <c r="AM2" s="28"/>
      <c r="AN2" s="28" t="s">
        <v>241</v>
      </c>
      <c r="AO2" s="27"/>
      <c r="AP2" s="27" t="s">
        <v>242</v>
      </c>
      <c r="AQ2" s="28"/>
      <c r="AR2" s="31">
        <v>3</v>
      </c>
      <c r="AS2" s="27"/>
      <c r="AT2" s="27" t="s">
        <v>243</v>
      </c>
      <c r="AU2" s="28"/>
      <c r="AV2" s="27" t="s">
        <v>244</v>
      </c>
      <c r="AW2" s="27"/>
      <c r="AX2" s="27" t="s">
        <v>245</v>
      </c>
      <c r="AY2" s="28"/>
      <c r="AZ2" s="28" t="s">
        <v>65</v>
      </c>
      <c r="BA2" s="28"/>
      <c r="BB2" s="31">
        <v>2</v>
      </c>
      <c r="BC2" s="28"/>
      <c r="BD2" s="28" t="s">
        <v>246</v>
      </c>
      <c r="BE2" s="28"/>
      <c r="BF2" s="28" t="s">
        <v>247</v>
      </c>
      <c r="BG2" s="28"/>
      <c r="BH2" s="31">
        <v>1</v>
      </c>
      <c r="BI2" s="27"/>
      <c r="BJ2" s="27" t="s">
        <v>248</v>
      </c>
      <c r="BK2" s="28"/>
      <c r="BL2" s="28"/>
      <c r="BM2" s="28" t="s">
        <v>249</v>
      </c>
      <c r="BN2" s="28"/>
      <c r="BO2" s="28" t="s">
        <v>250</v>
      </c>
      <c r="BP2" s="27"/>
      <c r="BQ2" s="27" t="s">
        <v>251</v>
      </c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</row>
    <row r="3" spans="1:109" ht="15.75" customHeight="1">
      <c r="A3" s="34" t="s">
        <v>252</v>
      </c>
      <c r="B3" s="35" t="s">
        <v>253</v>
      </c>
      <c r="C3" s="28"/>
      <c r="D3" s="28" t="s">
        <v>254</v>
      </c>
      <c r="E3" s="28" t="s">
        <v>255</v>
      </c>
      <c r="F3" s="28"/>
      <c r="G3" s="28" t="s">
        <v>254</v>
      </c>
      <c r="H3" t="s">
        <v>256</v>
      </c>
      <c r="I3" s="28"/>
      <c r="J3" s="28"/>
      <c r="K3" s="28"/>
      <c r="L3" s="28"/>
      <c r="M3" s="27"/>
      <c r="N3" s="27"/>
      <c r="O3" s="27" t="s">
        <v>257</v>
      </c>
      <c r="P3" s="28"/>
      <c r="Q3" s="31">
        <v>2</v>
      </c>
      <c r="R3" s="31">
        <v>2</v>
      </c>
      <c r="S3" s="37" t="s">
        <v>258</v>
      </c>
      <c r="T3" s="27"/>
      <c r="U3" s="27" t="s">
        <v>259</v>
      </c>
      <c r="V3" s="27"/>
      <c r="W3" s="27" t="s">
        <v>260</v>
      </c>
      <c r="X3" s="27"/>
      <c r="Y3" s="27" t="s">
        <v>261</v>
      </c>
      <c r="Z3" s="36" t="s">
        <v>262</v>
      </c>
      <c r="AA3" s="36" t="s">
        <v>263</v>
      </c>
      <c r="AB3" s="27"/>
      <c r="AC3" s="27" t="s">
        <v>264</v>
      </c>
      <c r="AD3" s="27"/>
      <c r="AE3" s="27"/>
      <c r="AF3" s="27"/>
      <c r="AG3" s="37">
        <v>4</v>
      </c>
      <c r="AH3" s="28"/>
      <c r="AI3" s="28"/>
      <c r="AJ3" s="28"/>
      <c r="AK3" s="28"/>
      <c r="AL3" s="28"/>
      <c r="AM3" s="28"/>
      <c r="AN3" s="28" t="s">
        <v>265</v>
      </c>
      <c r="AO3" s="27"/>
      <c r="AP3" s="27" t="s">
        <v>266</v>
      </c>
      <c r="AQ3" s="28"/>
      <c r="AR3" s="31">
        <v>4</v>
      </c>
      <c r="AS3" s="27"/>
      <c r="AT3" s="27" t="s">
        <v>267</v>
      </c>
      <c r="AU3" s="27"/>
      <c r="AV3" s="27" t="s">
        <v>268</v>
      </c>
      <c r="AW3" s="28"/>
      <c r="AX3" s="28" t="s">
        <v>269</v>
      </c>
      <c r="AY3" s="28"/>
      <c r="AZ3" s="28"/>
      <c r="BA3" s="28"/>
      <c r="BB3" s="31">
        <v>3</v>
      </c>
      <c r="BC3" s="28"/>
      <c r="BD3" s="28"/>
      <c r="BE3" s="28"/>
      <c r="BF3" s="31">
        <v>1</v>
      </c>
      <c r="BG3" s="28"/>
      <c r="BH3" s="31">
        <v>2</v>
      </c>
      <c r="BI3" s="28"/>
      <c r="BJ3" s="28" t="s">
        <v>270</v>
      </c>
      <c r="BK3" s="28"/>
      <c r="BL3" s="28"/>
      <c r="BM3" s="28"/>
      <c r="BN3" s="28"/>
      <c r="BO3" s="28" t="s">
        <v>271</v>
      </c>
      <c r="BP3" s="27"/>
      <c r="BQ3" s="27" t="s">
        <v>272</v>
      </c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</row>
    <row r="4" spans="1:109" ht="15.75" customHeight="1">
      <c r="A4" s="34" t="s">
        <v>273</v>
      </c>
      <c r="B4" s="35" t="s">
        <v>274</v>
      </c>
      <c r="C4" s="28"/>
      <c r="D4" s="28" t="s">
        <v>275</v>
      </c>
      <c r="E4" s="28" t="s">
        <v>276</v>
      </c>
      <c r="F4" s="28"/>
      <c r="G4" s="28" t="s">
        <v>275</v>
      </c>
      <c r="H4" t="s">
        <v>277</v>
      </c>
      <c r="I4" s="28"/>
      <c r="J4" s="28"/>
      <c r="K4" s="28"/>
      <c r="L4" s="28"/>
      <c r="M4" s="27"/>
      <c r="N4" s="27"/>
      <c r="O4" s="27" t="s">
        <v>278</v>
      </c>
      <c r="P4" s="28"/>
      <c r="Q4" s="31">
        <v>3</v>
      </c>
      <c r="R4" s="31">
        <v>3</v>
      </c>
      <c r="S4" s="37" t="s">
        <v>279</v>
      </c>
      <c r="T4" s="27"/>
      <c r="U4" s="27" t="s">
        <v>280</v>
      </c>
      <c r="V4" s="27"/>
      <c r="W4" s="27" t="s">
        <v>281</v>
      </c>
      <c r="X4" s="27"/>
      <c r="Y4" s="27"/>
      <c r="Z4" s="36" t="s">
        <v>282</v>
      </c>
      <c r="AA4" s="36" t="s">
        <v>283</v>
      </c>
      <c r="AB4" s="28"/>
      <c r="AC4" s="27"/>
      <c r="AD4" s="27"/>
      <c r="AE4" s="27"/>
      <c r="AF4" s="27"/>
      <c r="AG4" s="37">
        <v>5</v>
      </c>
      <c r="AH4" s="28"/>
      <c r="AI4" s="28"/>
      <c r="AJ4" s="28"/>
      <c r="AK4" s="28"/>
      <c r="AL4" s="28"/>
      <c r="AM4" s="28"/>
      <c r="AN4" s="28"/>
      <c r="AO4" s="27"/>
      <c r="AP4" s="27" t="s">
        <v>284</v>
      </c>
      <c r="AQ4" s="28"/>
      <c r="AR4" s="31">
        <v>5</v>
      </c>
      <c r="AS4" s="27"/>
      <c r="AT4" s="27" t="s">
        <v>285</v>
      </c>
      <c r="AU4" s="27"/>
      <c r="AV4" s="27" t="s">
        <v>286</v>
      </c>
      <c r="AW4" s="28"/>
      <c r="AX4" s="28" t="s">
        <v>287</v>
      </c>
      <c r="AY4" s="28"/>
      <c r="AZ4" s="28"/>
      <c r="BA4" s="28"/>
      <c r="BB4" s="31">
        <v>4</v>
      </c>
      <c r="BC4" s="28"/>
      <c r="BD4" s="28"/>
      <c r="BE4" s="28"/>
      <c r="BF4" s="31">
        <v>2</v>
      </c>
      <c r="BG4" s="28"/>
      <c r="BH4" s="31">
        <v>3</v>
      </c>
      <c r="BI4" s="28"/>
      <c r="BJ4" s="28" t="s">
        <v>288</v>
      </c>
      <c r="BK4" s="28"/>
      <c r="BL4" s="28"/>
      <c r="BM4" s="28"/>
      <c r="BN4" s="28"/>
      <c r="BO4" s="28"/>
      <c r="BP4" s="27"/>
      <c r="BQ4" s="27" t="s">
        <v>289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</row>
    <row r="5" spans="1:109" ht="15.75" customHeight="1">
      <c r="A5" s="34" t="s">
        <v>290</v>
      </c>
      <c r="B5" s="35" t="s">
        <v>291</v>
      </c>
      <c r="C5" s="28"/>
      <c r="D5" s="28" t="s">
        <v>292</v>
      </c>
      <c r="E5" s="28" t="s">
        <v>293</v>
      </c>
      <c r="F5" s="28"/>
      <c r="G5" s="28" t="s">
        <v>292</v>
      </c>
      <c r="H5" t="s">
        <v>294</v>
      </c>
      <c r="I5" s="28"/>
      <c r="J5" s="28"/>
      <c r="K5" s="28"/>
      <c r="L5" s="28"/>
      <c r="M5" s="28"/>
      <c r="N5" s="28"/>
      <c r="O5" s="28"/>
      <c r="P5" s="28"/>
      <c r="Q5" s="31">
        <v>4</v>
      </c>
      <c r="R5" s="31">
        <v>4</v>
      </c>
      <c r="S5" s="31" t="s">
        <v>295</v>
      </c>
      <c r="T5" s="28"/>
      <c r="U5" s="27"/>
      <c r="V5" s="27"/>
      <c r="W5" s="27" t="s">
        <v>261</v>
      </c>
      <c r="X5" s="27"/>
      <c r="Y5" s="27"/>
      <c r="Z5" s="36" t="s">
        <v>296</v>
      </c>
      <c r="AA5" s="36" t="s">
        <v>297</v>
      </c>
      <c r="AB5" s="28"/>
      <c r="AC5" s="27"/>
      <c r="AD5" s="27"/>
      <c r="AE5" s="27"/>
      <c r="AF5" s="27"/>
      <c r="AG5" s="37">
        <v>6</v>
      </c>
      <c r="AH5" s="28"/>
      <c r="AI5" s="28"/>
      <c r="AJ5" s="28"/>
      <c r="AK5" s="28"/>
      <c r="AL5" s="28"/>
      <c r="AM5" s="28"/>
      <c r="AN5" s="28"/>
      <c r="AO5" s="27"/>
      <c r="AP5" s="27" t="s">
        <v>298</v>
      </c>
      <c r="AQ5" s="28"/>
      <c r="AR5" s="31">
        <v>6</v>
      </c>
      <c r="AS5" s="28"/>
      <c r="AT5" s="28"/>
      <c r="AU5" s="28"/>
      <c r="AV5" s="28"/>
      <c r="AW5" s="28"/>
      <c r="AX5" s="28"/>
      <c r="AY5" s="28"/>
      <c r="AZ5" s="28"/>
      <c r="BA5" s="28"/>
      <c r="BB5" s="31">
        <v>5</v>
      </c>
      <c r="BC5" s="28"/>
      <c r="BD5" s="28"/>
      <c r="BE5" s="28"/>
      <c r="BF5" s="31">
        <v>3</v>
      </c>
      <c r="BG5" s="28"/>
      <c r="BH5" s="31">
        <v>4</v>
      </c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</row>
    <row r="6" spans="1:109" ht="15.75" customHeight="1">
      <c r="A6" s="34" t="s">
        <v>299</v>
      </c>
      <c r="B6" s="35" t="s">
        <v>300</v>
      </c>
      <c r="C6" s="28"/>
      <c r="D6" s="28" t="s">
        <v>301</v>
      </c>
      <c r="E6" s="28" t="s">
        <v>302</v>
      </c>
      <c r="F6" s="28"/>
      <c r="G6" s="28" t="s">
        <v>301</v>
      </c>
      <c r="H6" t="s">
        <v>303</v>
      </c>
      <c r="I6" s="28"/>
      <c r="J6" s="28"/>
      <c r="K6" s="28"/>
      <c r="L6" s="28"/>
      <c r="M6" s="28"/>
      <c r="N6" s="28"/>
      <c r="O6" s="28"/>
      <c r="P6" s="28"/>
      <c r="Q6" s="31">
        <v>5</v>
      </c>
      <c r="R6" s="31">
        <v>5</v>
      </c>
      <c r="S6" s="31" t="s">
        <v>304</v>
      </c>
      <c r="T6" s="28"/>
      <c r="U6" s="28"/>
      <c r="V6" s="28"/>
      <c r="W6" s="28"/>
      <c r="X6" s="27"/>
      <c r="Y6" s="27"/>
      <c r="Z6" s="36" t="s">
        <v>305</v>
      </c>
      <c r="AA6" s="36" t="s">
        <v>306</v>
      </c>
      <c r="AB6" s="28"/>
      <c r="AC6" s="27"/>
      <c r="AD6" s="27"/>
      <c r="AE6" s="27"/>
      <c r="AF6" s="27"/>
      <c r="AG6" s="37">
        <v>7</v>
      </c>
      <c r="AH6" s="28"/>
      <c r="AI6" s="28"/>
      <c r="AJ6" s="28"/>
      <c r="AK6" s="28"/>
      <c r="AL6" s="28"/>
      <c r="AM6" s="28"/>
      <c r="AN6" s="28"/>
      <c r="AO6" s="27"/>
      <c r="AP6" s="27" t="s">
        <v>307</v>
      </c>
      <c r="AQ6" s="28"/>
      <c r="AR6" s="31">
        <v>7</v>
      </c>
      <c r="AS6" s="28"/>
      <c r="AT6" s="28"/>
      <c r="AU6" s="28"/>
      <c r="AV6" s="28"/>
      <c r="AW6" s="28"/>
      <c r="AX6" s="28"/>
      <c r="AY6" s="28"/>
      <c r="AZ6" s="28"/>
      <c r="BA6" s="28"/>
      <c r="BB6" s="31">
        <v>6</v>
      </c>
      <c r="BC6" s="28"/>
      <c r="BD6" s="28"/>
      <c r="BE6" s="28"/>
      <c r="BF6" s="31">
        <v>4</v>
      </c>
      <c r="BG6" s="28"/>
      <c r="BH6" s="31">
        <v>5</v>
      </c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</row>
    <row r="7" spans="1:109" ht="15.75" customHeight="1">
      <c r="A7" s="34" t="s">
        <v>308</v>
      </c>
      <c r="B7" s="35" t="s">
        <v>309</v>
      </c>
      <c r="C7" s="28"/>
      <c r="D7" s="28" t="s">
        <v>310</v>
      </c>
      <c r="E7" s="28"/>
      <c r="F7" s="28"/>
      <c r="G7" s="28" t="s">
        <v>310</v>
      </c>
      <c r="H7" t="s">
        <v>311</v>
      </c>
      <c r="I7" s="28"/>
      <c r="J7" s="28"/>
      <c r="K7" s="28"/>
      <c r="L7" s="28"/>
      <c r="M7" s="28"/>
      <c r="N7" s="28"/>
      <c r="O7" s="28"/>
      <c r="P7" s="28"/>
      <c r="Q7" s="31">
        <v>6</v>
      </c>
      <c r="R7" s="31">
        <v>6</v>
      </c>
      <c r="S7" s="31" t="s">
        <v>312</v>
      </c>
      <c r="T7" s="28"/>
      <c r="U7" s="28"/>
      <c r="V7" s="28"/>
      <c r="W7" s="28"/>
      <c r="X7" s="27"/>
      <c r="Y7" s="27"/>
      <c r="Z7" s="36" t="s">
        <v>313</v>
      </c>
      <c r="AA7" s="36" t="s">
        <v>314</v>
      </c>
      <c r="AB7" s="28"/>
      <c r="AC7" s="27"/>
      <c r="AD7" s="27"/>
      <c r="AE7" s="27"/>
      <c r="AF7" s="27"/>
      <c r="AG7" s="37">
        <v>8</v>
      </c>
      <c r="AH7" s="28"/>
      <c r="AI7" s="28"/>
      <c r="AJ7" s="28"/>
      <c r="AK7" s="28"/>
      <c r="AL7" s="28"/>
      <c r="AM7" s="28"/>
      <c r="AN7" s="28"/>
      <c r="AO7" s="27"/>
      <c r="AP7" s="27" t="s">
        <v>315</v>
      </c>
      <c r="AQ7" s="28"/>
      <c r="AR7" s="31">
        <v>8</v>
      </c>
      <c r="AS7" s="28"/>
      <c r="AT7" s="28"/>
      <c r="AU7" s="28"/>
      <c r="AV7" s="28"/>
      <c r="AW7" s="28"/>
      <c r="AX7" s="28"/>
      <c r="AY7" s="28"/>
      <c r="AZ7" s="28"/>
      <c r="BA7" s="28"/>
      <c r="BB7" s="31">
        <v>7</v>
      </c>
      <c r="BC7" s="28"/>
      <c r="BD7" s="28"/>
      <c r="BE7" s="28"/>
      <c r="BF7" s="31">
        <v>5</v>
      </c>
      <c r="BG7" s="28"/>
      <c r="BH7" s="31">
        <v>6</v>
      </c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</row>
    <row r="8" spans="1:109" ht="15.75" customHeight="1">
      <c r="A8" s="34" t="s">
        <v>316</v>
      </c>
      <c r="B8" s="35" t="s">
        <v>317</v>
      </c>
      <c r="C8" s="28"/>
      <c r="D8" s="28" t="s">
        <v>318</v>
      </c>
      <c r="E8" s="28"/>
      <c r="F8" s="28"/>
      <c r="G8" s="28" t="s">
        <v>318</v>
      </c>
      <c r="H8" t="s">
        <v>319</v>
      </c>
      <c r="I8" s="28"/>
      <c r="J8" s="28"/>
      <c r="K8" s="28"/>
      <c r="L8" s="28"/>
      <c r="M8" s="28"/>
      <c r="N8" s="28"/>
      <c r="O8" s="28"/>
      <c r="P8" s="28"/>
      <c r="Q8" s="31">
        <v>7</v>
      </c>
      <c r="R8" s="31">
        <v>7</v>
      </c>
      <c r="S8" s="28"/>
      <c r="T8" s="28"/>
      <c r="U8" s="28"/>
      <c r="V8" s="28"/>
      <c r="W8" s="28"/>
      <c r="X8" s="27"/>
      <c r="Y8" s="27"/>
      <c r="Z8" s="36" t="s">
        <v>320</v>
      </c>
      <c r="AA8" s="36" t="s">
        <v>321</v>
      </c>
      <c r="AB8" s="28"/>
      <c r="AC8" s="27"/>
      <c r="AD8" s="27"/>
      <c r="AE8" s="27"/>
      <c r="AF8" s="27"/>
      <c r="AG8" s="37">
        <v>9</v>
      </c>
      <c r="AH8" s="28"/>
      <c r="AI8" s="28"/>
      <c r="AJ8" s="28"/>
      <c r="AK8" s="28"/>
      <c r="AL8" s="28"/>
      <c r="AM8" s="28"/>
      <c r="AN8" s="28"/>
      <c r="AO8" s="27"/>
      <c r="AP8" s="27" t="s">
        <v>322</v>
      </c>
      <c r="AQ8" s="28"/>
      <c r="AR8" s="31">
        <v>9</v>
      </c>
      <c r="AS8" s="28"/>
      <c r="AT8" s="28"/>
      <c r="AU8" s="28"/>
      <c r="AV8" s="28"/>
      <c r="AW8" s="28"/>
      <c r="AX8" s="28"/>
      <c r="AY8" s="28"/>
      <c r="AZ8" s="28"/>
      <c r="BA8" s="28"/>
      <c r="BB8" s="31">
        <v>8</v>
      </c>
      <c r="BC8" s="28"/>
      <c r="BD8" s="28"/>
      <c r="BE8" s="28"/>
      <c r="BF8" s="31">
        <v>6</v>
      </c>
      <c r="BG8" s="28"/>
      <c r="BH8" s="31">
        <v>7</v>
      </c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</row>
    <row r="9" spans="1:109" ht="15.75" customHeight="1">
      <c r="A9" s="34" t="s">
        <v>323</v>
      </c>
      <c r="B9" s="35" t="s">
        <v>324</v>
      </c>
      <c r="C9" s="28"/>
      <c r="D9" s="28" t="s">
        <v>325</v>
      </c>
      <c r="E9" s="28"/>
      <c r="F9" s="28"/>
      <c r="G9" s="28" t="s">
        <v>325</v>
      </c>
      <c r="H9" t="s">
        <v>326</v>
      </c>
      <c r="I9" s="28"/>
      <c r="J9" s="28"/>
      <c r="K9" s="28"/>
      <c r="L9" s="28"/>
      <c r="M9" s="28"/>
      <c r="N9" s="28"/>
      <c r="O9" s="28"/>
      <c r="P9" s="28"/>
      <c r="Q9" s="31">
        <v>8</v>
      </c>
      <c r="R9" s="31">
        <v>8</v>
      </c>
      <c r="S9" s="28"/>
      <c r="T9" s="28"/>
      <c r="U9" s="28"/>
      <c r="V9" s="28"/>
      <c r="W9" s="28"/>
      <c r="X9" s="27"/>
      <c r="Y9" s="27"/>
      <c r="Z9" s="36" t="s">
        <v>327</v>
      </c>
      <c r="AA9" s="36" t="s">
        <v>328</v>
      </c>
      <c r="AB9" s="28"/>
      <c r="AC9" s="27"/>
      <c r="AD9" s="27"/>
      <c r="AE9" s="27"/>
      <c r="AF9" s="27"/>
      <c r="AG9" s="37">
        <v>10</v>
      </c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31">
        <v>10</v>
      </c>
      <c r="AS9" s="28"/>
      <c r="AT9" s="28"/>
      <c r="AU9" s="28"/>
      <c r="AV9" s="28"/>
      <c r="AW9" s="28"/>
      <c r="AX9" s="28"/>
      <c r="AY9" s="28"/>
      <c r="AZ9" s="28"/>
      <c r="BA9" s="28"/>
      <c r="BB9" s="31">
        <v>9</v>
      </c>
      <c r="BC9" s="28"/>
      <c r="BD9" s="28"/>
      <c r="BE9" s="28"/>
      <c r="BF9" s="31">
        <v>7</v>
      </c>
      <c r="BG9" s="28"/>
      <c r="BH9" s="31">
        <v>8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</row>
    <row r="10" spans="1:109" ht="15.75" customHeight="1">
      <c r="A10" s="34" t="s">
        <v>329</v>
      </c>
      <c r="B10" s="35" t="s">
        <v>330</v>
      </c>
      <c r="C10" s="28"/>
      <c r="D10" s="28" t="s">
        <v>331</v>
      </c>
      <c r="E10" s="28"/>
      <c r="F10" s="28"/>
      <c r="G10" s="28" t="s">
        <v>331</v>
      </c>
      <c r="H10" t="s">
        <v>332</v>
      </c>
      <c r="I10" s="28"/>
      <c r="J10" s="28"/>
      <c r="K10" s="28"/>
      <c r="L10" s="28"/>
      <c r="M10" s="28"/>
      <c r="N10" s="28"/>
      <c r="O10" s="28"/>
      <c r="P10" s="28"/>
      <c r="Q10" s="31">
        <v>9</v>
      </c>
      <c r="R10" s="31">
        <v>9</v>
      </c>
      <c r="S10" s="28"/>
      <c r="T10" s="28"/>
      <c r="U10" s="28"/>
      <c r="V10" s="28"/>
      <c r="W10" s="28"/>
      <c r="X10" s="27"/>
      <c r="Y10" s="27"/>
      <c r="Z10" s="36" t="s">
        <v>333</v>
      </c>
      <c r="AA10" s="36" t="s">
        <v>334</v>
      </c>
      <c r="AB10" s="28"/>
      <c r="AC10" s="27"/>
      <c r="AD10" s="27"/>
      <c r="AE10" s="27"/>
      <c r="AF10" s="27"/>
      <c r="AG10" s="37">
        <v>11</v>
      </c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31">
        <v>11</v>
      </c>
      <c r="AS10" s="28"/>
      <c r="AT10" s="28"/>
      <c r="AU10" s="28"/>
      <c r="AV10" s="28"/>
      <c r="AW10" s="28"/>
      <c r="AX10" s="28"/>
      <c r="AY10" s="28"/>
      <c r="AZ10" s="28"/>
      <c r="BA10" s="28"/>
      <c r="BB10" s="31" t="s">
        <v>335</v>
      </c>
      <c r="BC10" s="28"/>
      <c r="BD10" s="28"/>
      <c r="BE10" s="28"/>
      <c r="BF10" s="31">
        <v>8</v>
      </c>
      <c r="BG10" s="28"/>
      <c r="BH10" s="31">
        <v>9</v>
      </c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</row>
    <row r="11" spans="1:109" ht="15.75" customHeight="1">
      <c r="A11" s="34" t="s">
        <v>336</v>
      </c>
      <c r="B11" s="35" t="s">
        <v>337</v>
      </c>
      <c r="C11" s="28"/>
      <c r="D11" s="28" t="s">
        <v>338</v>
      </c>
      <c r="E11" s="28"/>
      <c r="F11" s="28"/>
      <c r="G11" s="28" t="s">
        <v>338</v>
      </c>
      <c r="H11" t="s">
        <v>339</v>
      </c>
      <c r="I11" s="28"/>
      <c r="J11" s="28"/>
      <c r="K11" s="28"/>
      <c r="L11" s="28"/>
      <c r="M11" s="28"/>
      <c r="N11" s="28"/>
      <c r="O11" s="28"/>
      <c r="P11" s="28"/>
      <c r="Q11" s="31">
        <v>10</v>
      </c>
      <c r="R11" s="31">
        <v>10</v>
      </c>
      <c r="S11" s="28"/>
      <c r="T11" s="28"/>
      <c r="U11" s="28"/>
      <c r="V11" s="28"/>
      <c r="W11" s="28"/>
      <c r="X11" s="27"/>
      <c r="Y11" s="27"/>
      <c r="Z11" s="36" t="s">
        <v>340</v>
      </c>
      <c r="AA11" s="36" t="s">
        <v>341</v>
      </c>
      <c r="AB11" s="28"/>
      <c r="AC11" s="27"/>
      <c r="AD11" s="27"/>
      <c r="AE11" s="27"/>
      <c r="AF11" s="27"/>
      <c r="AG11" s="37">
        <v>12</v>
      </c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31">
        <v>12</v>
      </c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31">
        <v>9</v>
      </c>
      <c r="BG11" s="28"/>
      <c r="BH11" s="31">
        <v>10</v>
      </c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</row>
    <row r="12" spans="1:109" ht="15.75" customHeight="1">
      <c r="A12" s="34" t="s">
        <v>342</v>
      </c>
      <c r="B12" s="35">
        <v>8</v>
      </c>
      <c r="C12" s="28"/>
      <c r="D12" s="28"/>
      <c r="E12" s="28"/>
      <c r="F12" s="28"/>
      <c r="G12" s="28" t="s">
        <v>233</v>
      </c>
      <c r="H12" t="s">
        <v>343</v>
      </c>
      <c r="I12" s="28"/>
      <c r="J12" s="28"/>
      <c r="K12" s="28"/>
      <c r="L12" s="28"/>
      <c r="M12" s="28"/>
      <c r="N12" s="28"/>
      <c r="O12" s="28"/>
      <c r="P12" s="28"/>
      <c r="Q12" s="31">
        <v>11</v>
      </c>
      <c r="R12" s="31">
        <v>11</v>
      </c>
      <c r="S12" s="28"/>
      <c r="T12" s="28"/>
      <c r="U12" s="28"/>
      <c r="V12" s="28"/>
      <c r="W12" s="28"/>
      <c r="X12" s="27"/>
      <c r="Y12" s="27"/>
      <c r="Z12" s="36" t="s">
        <v>344</v>
      </c>
      <c r="AA12" s="36" t="s">
        <v>345</v>
      </c>
      <c r="AB12" s="28"/>
      <c r="AC12" s="27"/>
      <c r="AD12" s="27"/>
      <c r="AE12" s="27"/>
      <c r="AF12" s="27"/>
      <c r="AG12" s="37">
        <v>13</v>
      </c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31">
        <v>13</v>
      </c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31">
        <v>10</v>
      </c>
      <c r="BG12" s="28"/>
      <c r="BH12" s="31">
        <v>11</v>
      </c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</row>
    <row r="13" spans="1:109" ht="15.75" customHeight="1">
      <c r="A13" s="34" t="s">
        <v>346</v>
      </c>
      <c r="B13" s="35" t="s">
        <v>347</v>
      </c>
      <c r="C13" s="28"/>
      <c r="D13" s="28"/>
      <c r="E13" s="28"/>
      <c r="F13" s="28"/>
      <c r="G13" s="28" t="s">
        <v>255</v>
      </c>
      <c r="H13" t="s">
        <v>348</v>
      </c>
      <c r="I13" s="28"/>
      <c r="J13" s="28"/>
      <c r="K13" s="28"/>
      <c r="L13" s="28"/>
      <c r="M13" s="28"/>
      <c r="N13" s="28"/>
      <c r="O13" s="28"/>
      <c r="P13" s="28"/>
      <c r="Q13" s="31">
        <v>12</v>
      </c>
      <c r="R13" s="31">
        <v>12</v>
      </c>
      <c r="S13" s="28"/>
      <c r="T13" s="28"/>
      <c r="U13" s="28"/>
      <c r="V13" s="28"/>
      <c r="W13" s="28"/>
      <c r="X13" s="27"/>
      <c r="Y13" s="27"/>
      <c r="Z13" s="36" t="s">
        <v>349</v>
      </c>
      <c r="AA13" s="36" t="s">
        <v>350</v>
      </c>
      <c r="AB13" s="28"/>
      <c r="AC13" s="27"/>
      <c r="AD13" s="27"/>
      <c r="AE13" s="27"/>
      <c r="AF13" s="27"/>
      <c r="AG13" s="37">
        <v>14</v>
      </c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31">
        <v>14</v>
      </c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31">
        <v>11</v>
      </c>
      <c r="BG13" s="28"/>
      <c r="BH13" s="31">
        <v>12</v>
      </c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</row>
    <row r="14" spans="1:109" ht="15.75" customHeight="1">
      <c r="A14" s="34" t="s">
        <v>351</v>
      </c>
      <c r="B14" s="35" t="s">
        <v>352</v>
      </c>
      <c r="C14" s="28"/>
      <c r="D14" s="28"/>
      <c r="E14" s="28"/>
      <c r="F14" s="28"/>
      <c r="G14" s="28" t="s">
        <v>276</v>
      </c>
      <c r="H14" t="s">
        <v>353</v>
      </c>
      <c r="I14" s="28"/>
      <c r="J14" s="28"/>
      <c r="K14" s="28"/>
      <c r="L14" s="28"/>
      <c r="M14" s="28"/>
      <c r="N14" s="28"/>
      <c r="O14" s="28"/>
      <c r="P14" s="28"/>
      <c r="Q14" s="31">
        <v>13</v>
      </c>
      <c r="R14" s="31"/>
      <c r="S14" s="28"/>
      <c r="T14" s="28"/>
      <c r="U14" s="28"/>
      <c r="V14" s="28"/>
      <c r="W14" s="28"/>
      <c r="X14" s="27"/>
      <c r="Y14" s="27"/>
      <c r="Z14" s="36" t="s">
        <v>354</v>
      </c>
      <c r="AA14" s="36" t="s">
        <v>355</v>
      </c>
      <c r="AB14" s="28"/>
      <c r="AC14" s="27"/>
      <c r="AD14" s="27"/>
      <c r="AE14" s="27"/>
      <c r="AF14" s="27"/>
      <c r="AG14" s="37">
        <v>15</v>
      </c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31">
        <v>15</v>
      </c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31">
        <v>12</v>
      </c>
      <c r="BG14" s="28"/>
      <c r="BH14" s="31">
        <v>13</v>
      </c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</row>
    <row r="15" spans="1:109" ht="15.75" customHeight="1">
      <c r="A15" s="34" t="s">
        <v>356</v>
      </c>
      <c r="B15" s="35" t="s">
        <v>357</v>
      </c>
      <c r="C15" s="28"/>
      <c r="D15" s="28"/>
      <c r="E15" s="28"/>
      <c r="F15" s="28"/>
      <c r="G15" s="28" t="s">
        <v>293</v>
      </c>
      <c r="H15" t="s">
        <v>358</v>
      </c>
      <c r="I15" s="28"/>
      <c r="J15" s="28"/>
      <c r="K15" s="28"/>
      <c r="L15" s="28"/>
      <c r="M15" s="28"/>
      <c r="N15" s="28"/>
      <c r="O15" s="28"/>
      <c r="P15" s="28"/>
      <c r="Q15" s="31">
        <v>14</v>
      </c>
      <c r="R15" s="28"/>
      <c r="S15" s="28"/>
      <c r="T15" s="28"/>
      <c r="U15" s="28"/>
      <c r="V15" s="28"/>
      <c r="W15" s="28"/>
      <c r="X15" s="27"/>
      <c r="Y15" s="27"/>
      <c r="Z15" s="36" t="s">
        <v>359</v>
      </c>
      <c r="AA15" s="36" t="s">
        <v>360</v>
      </c>
      <c r="AB15" s="28"/>
      <c r="AC15" s="27"/>
      <c r="AD15" s="27"/>
      <c r="AE15" s="27"/>
      <c r="AF15" s="27"/>
      <c r="AG15" s="37">
        <v>16</v>
      </c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 t="s">
        <v>361</v>
      </c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31">
        <v>13</v>
      </c>
      <c r="BG15" s="28"/>
      <c r="BH15" s="31">
        <v>14</v>
      </c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</row>
    <row r="16" spans="1:109" ht="15.75" customHeight="1">
      <c r="A16" s="34" t="s">
        <v>362</v>
      </c>
      <c r="B16" s="35">
        <v>46</v>
      </c>
      <c r="C16" s="28"/>
      <c r="D16" s="28"/>
      <c r="E16" s="28"/>
      <c r="F16" s="28"/>
      <c r="G16" s="28" t="s">
        <v>302</v>
      </c>
      <c r="H16" t="s">
        <v>363</v>
      </c>
      <c r="I16" s="28"/>
      <c r="J16" s="28"/>
      <c r="K16" s="28"/>
      <c r="L16" s="28"/>
      <c r="M16" s="28"/>
      <c r="N16" s="28"/>
      <c r="O16" s="28"/>
      <c r="P16" s="28"/>
      <c r="Q16" s="31">
        <v>15</v>
      </c>
      <c r="R16" s="28"/>
      <c r="S16" s="28"/>
      <c r="T16" s="28"/>
      <c r="U16" s="28"/>
      <c r="V16" s="28"/>
      <c r="W16" s="28"/>
      <c r="X16" s="27"/>
      <c r="Y16" s="27"/>
      <c r="Z16" s="36" t="s">
        <v>364</v>
      </c>
      <c r="AA16" s="36" t="s">
        <v>365</v>
      </c>
      <c r="AB16" s="28"/>
      <c r="AC16" s="27"/>
      <c r="AD16" s="27"/>
      <c r="AE16" s="27"/>
      <c r="AF16" s="27"/>
      <c r="AG16" s="37">
        <v>17</v>
      </c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31">
        <v>14</v>
      </c>
      <c r="BG16" s="28"/>
      <c r="BH16" s="31">
        <v>15</v>
      </c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</row>
    <row r="17" spans="1:109" ht="15.75" customHeight="1">
      <c r="A17" s="34" t="s">
        <v>366</v>
      </c>
      <c r="B17" s="35" t="s">
        <v>367</v>
      </c>
      <c r="C17" s="28"/>
      <c r="D17" s="28"/>
      <c r="E17" s="28"/>
      <c r="F17" s="28"/>
      <c r="G17" s="28"/>
      <c r="H17" t="s">
        <v>368</v>
      </c>
      <c r="I17" s="28"/>
      <c r="J17" s="28"/>
      <c r="K17" s="28"/>
      <c r="L17" s="28"/>
      <c r="M17" s="28"/>
      <c r="N17" s="28"/>
      <c r="O17" s="28"/>
      <c r="P17" s="28"/>
      <c r="Q17" s="31">
        <v>16</v>
      </c>
      <c r="R17" s="28"/>
      <c r="S17" s="28"/>
      <c r="T17" s="28"/>
      <c r="U17" s="28"/>
      <c r="V17" s="28"/>
      <c r="W17" s="28"/>
      <c r="X17" s="27"/>
      <c r="Y17" s="27"/>
      <c r="Z17" s="36" t="s">
        <v>369</v>
      </c>
      <c r="AA17" s="36" t="s">
        <v>370</v>
      </c>
      <c r="AB17" s="28"/>
      <c r="AC17" s="27"/>
      <c r="AD17" s="27"/>
      <c r="AE17" s="27"/>
      <c r="AF17" s="27"/>
      <c r="AG17" s="37">
        <v>18</v>
      </c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31">
        <v>15</v>
      </c>
      <c r="BG17" s="28"/>
      <c r="BH17" s="31">
        <v>16</v>
      </c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</row>
    <row r="18" spans="1:109" ht="15.75" customHeight="1">
      <c r="A18" s="34" t="s">
        <v>371</v>
      </c>
      <c r="B18" s="35" t="s">
        <v>372</v>
      </c>
      <c r="C18" s="28"/>
      <c r="D18" s="28"/>
      <c r="E18" s="28"/>
      <c r="F18" s="28"/>
      <c r="G18" s="28"/>
      <c r="H18" t="s">
        <v>373</v>
      </c>
      <c r="I18" s="28"/>
      <c r="J18" s="28"/>
      <c r="K18" s="28"/>
      <c r="L18" s="28"/>
      <c r="M18" s="28"/>
      <c r="N18" s="28"/>
      <c r="O18" s="28"/>
      <c r="P18" s="28"/>
      <c r="Q18" s="31">
        <v>17</v>
      </c>
      <c r="R18" s="28"/>
      <c r="S18" s="28"/>
      <c r="T18" s="28"/>
      <c r="U18" s="28"/>
      <c r="V18" s="28"/>
      <c r="W18" s="28"/>
      <c r="X18" s="27"/>
      <c r="Y18" s="27"/>
      <c r="Z18" s="36" t="s">
        <v>374</v>
      </c>
      <c r="AA18" s="36" t="s">
        <v>375</v>
      </c>
      <c r="AB18" s="28"/>
      <c r="AC18" s="27"/>
      <c r="AD18" s="27"/>
      <c r="AE18" s="27"/>
      <c r="AF18" s="27"/>
      <c r="AG18" s="37">
        <v>19</v>
      </c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31">
        <v>16</v>
      </c>
      <c r="BG18" s="28"/>
      <c r="BH18" s="31">
        <v>17</v>
      </c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</row>
    <row r="19" spans="1:109" ht="15.75" customHeight="1">
      <c r="A19" s="34" t="s">
        <v>376</v>
      </c>
      <c r="B19" s="35" t="s">
        <v>377</v>
      </c>
      <c r="C19" s="28"/>
      <c r="D19" s="28"/>
      <c r="E19" s="28"/>
      <c r="F19" s="28"/>
      <c r="G19" s="28"/>
      <c r="H19" t="s">
        <v>378</v>
      </c>
      <c r="I19" s="28"/>
      <c r="J19" s="28"/>
      <c r="K19" s="28"/>
      <c r="L19" s="28"/>
      <c r="M19" s="28"/>
      <c r="N19" s="28"/>
      <c r="O19" s="28"/>
      <c r="P19" s="28"/>
      <c r="Q19" s="31">
        <v>18</v>
      </c>
      <c r="R19" s="28"/>
      <c r="S19" s="28"/>
      <c r="T19" s="28"/>
      <c r="U19" s="28"/>
      <c r="V19" s="28"/>
      <c r="W19" s="28"/>
      <c r="X19" s="27"/>
      <c r="Y19" s="27"/>
      <c r="Z19" s="36" t="s">
        <v>379</v>
      </c>
      <c r="AA19" s="36" t="s">
        <v>380</v>
      </c>
      <c r="AB19" s="28"/>
      <c r="AC19" s="27"/>
      <c r="AD19" s="27"/>
      <c r="AE19" s="27"/>
      <c r="AF19" s="27"/>
      <c r="AG19" s="37">
        <v>20</v>
      </c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31">
        <v>17</v>
      </c>
      <c r="BG19" s="28"/>
      <c r="BH19" s="31">
        <v>18</v>
      </c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</row>
    <row r="20" spans="1:109" ht="15.75" customHeight="1">
      <c r="A20" s="34" t="s">
        <v>381</v>
      </c>
      <c r="B20" s="35">
        <v>17</v>
      </c>
      <c r="C20" s="28"/>
      <c r="D20" s="28"/>
      <c r="E20" s="28"/>
      <c r="F20" s="28"/>
      <c r="G20" s="28"/>
      <c r="H20" t="s">
        <v>382</v>
      </c>
      <c r="I20" s="28"/>
      <c r="J20" s="28"/>
      <c r="K20" s="28"/>
      <c r="L20" s="28"/>
      <c r="M20" s="28"/>
      <c r="N20" s="28"/>
      <c r="O20" s="28"/>
      <c r="P20" s="28"/>
      <c r="Q20" s="31">
        <v>19</v>
      </c>
      <c r="R20" s="28"/>
      <c r="S20" s="28"/>
      <c r="T20" s="28"/>
      <c r="U20" s="28"/>
      <c r="V20" s="28"/>
      <c r="W20" s="28"/>
      <c r="X20" s="27"/>
      <c r="Y20" s="27"/>
      <c r="Z20" s="36" t="s">
        <v>383</v>
      </c>
      <c r="AA20" s="36" t="s">
        <v>384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31">
        <v>18</v>
      </c>
      <c r="BG20" s="28"/>
      <c r="BH20" s="31">
        <v>19</v>
      </c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</row>
    <row r="21" spans="1:109" ht="15.75" customHeight="1">
      <c r="A21" s="34" t="s">
        <v>385</v>
      </c>
      <c r="B21" s="35" t="s">
        <v>386</v>
      </c>
      <c r="C21" s="28"/>
      <c r="D21" s="28"/>
      <c r="E21" s="28"/>
      <c r="F21" s="28"/>
      <c r="G21" s="28"/>
      <c r="H21" t="s">
        <v>387</v>
      </c>
      <c r="I21" s="28"/>
      <c r="J21" s="28"/>
      <c r="K21" s="28"/>
      <c r="L21" s="28"/>
      <c r="M21" s="28"/>
      <c r="N21" s="28"/>
      <c r="O21" s="28"/>
      <c r="P21" s="28"/>
      <c r="Q21" s="31">
        <v>20</v>
      </c>
      <c r="R21" s="28"/>
      <c r="S21" s="28"/>
      <c r="T21" s="28"/>
      <c r="U21" s="28"/>
      <c r="V21" s="28"/>
      <c r="W21" s="28"/>
      <c r="X21" s="27"/>
      <c r="Y21" s="27"/>
      <c r="Z21" s="36" t="s">
        <v>388</v>
      </c>
      <c r="AA21" s="36" t="s">
        <v>389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31">
        <v>19</v>
      </c>
      <c r="BG21" s="28"/>
      <c r="BH21" s="31">
        <v>20</v>
      </c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</row>
    <row r="22" spans="1:109" ht="77.25">
      <c r="A22" s="34" t="s">
        <v>390</v>
      </c>
      <c r="B22" s="35" t="s">
        <v>391</v>
      </c>
      <c r="C22" s="28"/>
      <c r="D22" s="28"/>
      <c r="E22" s="28"/>
      <c r="F22" s="28"/>
      <c r="G22" s="28"/>
      <c r="H22" t="s">
        <v>392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7"/>
      <c r="Y22" s="27"/>
      <c r="Z22" s="36" t="s">
        <v>393</v>
      </c>
      <c r="AA22" s="36" t="s">
        <v>394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31">
        <v>20</v>
      </c>
      <c r="BG22" s="28"/>
      <c r="BH22" s="31">
        <v>21</v>
      </c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</row>
    <row r="23" spans="1:109" ht="77.25">
      <c r="A23" s="34" t="s">
        <v>395</v>
      </c>
      <c r="B23" s="35" t="s">
        <v>396</v>
      </c>
      <c r="C23" s="28"/>
      <c r="D23" s="28"/>
      <c r="E23" s="28"/>
      <c r="F23" s="28"/>
      <c r="G23" s="28"/>
      <c r="H23" t="s">
        <v>397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7"/>
      <c r="Y23" s="27"/>
      <c r="Z23" s="36" t="s">
        <v>398</v>
      </c>
      <c r="AA23" s="36" t="s">
        <v>399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31">
        <v>22</v>
      </c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</row>
    <row r="24" spans="1:109" ht="51.75">
      <c r="A24" s="34" t="s">
        <v>400</v>
      </c>
      <c r="B24" s="35" t="s">
        <v>401</v>
      </c>
      <c r="C24" s="28"/>
      <c r="D24" s="28"/>
      <c r="E24" s="28"/>
      <c r="F24" s="28"/>
      <c r="G24" s="28"/>
      <c r="H24" t="s">
        <v>402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7"/>
      <c r="Y24" s="27"/>
      <c r="Z24" s="36" t="s">
        <v>403</v>
      </c>
      <c r="AA24" s="36" t="s">
        <v>404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31">
        <v>23</v>
      </c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</row>
    <row r="25" spans="1:109" ht="39">
      <c r="A25" s="34" t="s">
        <v>405</v>
      </c>
      <c r="B25" s="35">
        <v>44</v>
      </c>
      <c r="C25" s="28"/>
      <c r="D25" s="28"/>
      <c r="E25" s="28"/>
      <c r="F25" s="28"/>
      <c r="G25" s="28"/>
      <c r="H25" t="s">
        <v>406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7"/>
      <c r="Y25" s="27"/>
      <c r="Z25" s="36" t="s">
        <v>407</v>
      </c>
      <c r="AA25" s="36" t="s">
        <v>408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31">
        <v>24</v>
      </c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</row>
    <row r="26" spans="1:109" ht="26.25">
      <c r="A26" s="34" t="s">
        <v>409</v>
      </c>
      <c r="B26" s="35" t="s">
        <v>410</v>
      </c>
      <c r="C26" s="28"/>
      <c r="D26" s="28"/>
      <c r="E26" s="28"/>
      <c r="F26" s="28"/>
      <c r="G26" s="28"/>
      <c r="H26" t="s">
        <v>411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7"/>
      <c r="Y26" s="27"/>
      <c r="Z26" s="36" t="s">
        <v>412</v>
      </c>
      <c r="AA26" s="36" t="s">
        <v>413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31">
        <v>25</v>
      </c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</row>
    <row r="27" spans="1:109" ht="77.25">
      <c r="A27" s="34" t="s">
        <v>414</v>
      </c>
      <c r="B27" s="35" t="s">
        <v>415</v>
      </c>
      <c r="C27" s="28"/>
      <c r="D27" s="28"/>
      <c r="E27" s="28"/>
      <c r="F27" s="28"/>
      <c r="G27" s="28"/>
      <c r="H27" t="s">
        <v>416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7"/>
      <c r="Y27" s="27"/>
      <c r="Z27" s="36" t="s">
        <v>417</v>
      </c>
      <c r="AA27" s="36" t="s">
        <v>418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</row>
    <row r="28" spans="1:109" ht="64.5">
      <c r="A28" s="34" t="s">
        <v>419</v>
      </c>
      <c r="B28" s="35" t="s">
        <v>420</v>
      </c>
      <c r="C28" s="28"/>
      <c r="D28" s="28"/>
      <c r="E28" s="28"/>
      <c r="F28" s="28"/>
      <c r="G28" s="28"/>
      <c r="H28" t="s">
        <v>421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7"/>
      <c r="Y28" s="27"/>
      <c r="Z28" s="36" t="s">
        <v>422</v>
      </c>
      <c r="AA28" s="36" t="s">
        <v>423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</row>
    <row r="29" spans="1:109" ht="102.75">
      <c r="A29" s="34" t="s">
        <v>424</v>
      </c>
      <c r="B29" s="35" t="s">
        <v>425</v>
      </c>
      <c r="C29" s="28"/>
      <c r="D29" s="28"/>
      <c r="E29" s="28"/>
      <c r="F29" s="28"/>
      <c r="G29" s="28"/>
      <c r="H29" t="s">
        <v>426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7"/>
      <c r="Y29" s="27"/>
      <c r="Z29" s="36" t="s">
        <v>427</v>
      </c>
      <c r="AA29" s="36" t="s">
        <v>428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</row>
    <row r="30" spans="1:109" ht="51.75">
      <c r="A30" s="34" t="s">
        <v>429</v>
      </c>
      <c r="B30" s="35" t="s">
        <v>430</v>
      </c>
      <c r="C30" s="28"/>
      <c r="D30" s="28"/>
      <c r="E30" s="28"/>
      <c r="F30" s="28"/>
      <c r="G30" s="28"/>
      <c r="H30" t="s">
        <v>431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7"/>
      <c r="Y30" s="27"/>
      <c r="Z30" s="36" t="s">
        <v>432</v>
      </c>
      <c r="AA30" s="36" t="s">
        <v>433</v>
      </c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</row>
    <row r="31" spans="1:109" ht="51.75">
      <c r="A31" s="34" t="s">
        <v>434</v>
      </c>
      <c r="B31" s="35" t="s">
        <v>435</v>
      </c>
      <c r="C31" s="28"/>
      <c r="D31" s="28"/>
      <c r="E31" s="28"/>
      <c r="F31" s="28"/>
      <c r="G31" s="28"/>
      <c r="H31" t="s">
        <v>436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7"/>
      <c r="Y31" s="27"/>
      <c r="Z31" s="36" t="s">
        <v>437</v>
      </c>
      <c r="AA31" s="36" t="s">
        <v>438</v>
      </c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</row>
    <row r="32" spans="1:109" ht="77.25">
      <c r="A32" s="34" t="s">
        <v>439</v>
      </c>
      <c r="B32" s="35" t="s">
        <v>440</v>
      </c>
      <c r="C32" s="28"/>
      <c r="D32" s="28"/>
      <c r="E32" s="28"/>
      <c r="F32" s="28"/>
      <c r="G32" s="28"/>
      <c r="H32" t="s">
        <v>441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7"/>
      <c r="Y32" s="27"/>
      <c r="Z32" s="36" t="s">
        <v>442</v>
      </c>
      <c r="AA32" s="36" t="s">
        <v>443</v>
      </c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</row>
    <row r="33" spans="1:109" ht="39">
      <c r="A33" s="34" t="s">
        <v>444</v>
      </c>
      <c r="B33" s="35" t="s">
        <v>445</v>
      </c>
      <c r="C33" s="28"/>
      <c r="D33" s="28"/>
      <c r="E33" s="28"/>
      <c r="F33" s="28"/>
      <c r="G33" s="28"/>
      <c r="H33" t="s">
        <v>446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7"/>
      <c r="Y33" s="27"/>
      <c r="Z33" s="36" t="s">
        <v>447</v>
      </c>
      <c r="AA33" s="36" t="s">
        <v>448</v>
      </c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</row>
    <row r="34" spans="1:109" ht="64.5">
      <c r="A34" s="34" t="s">
        <v>449</v>
      </c>
      <c r="B34" s="35" t="s">
        <v>450</v>
      </c>
      <c r="C34" s="28"/>
      <c r="D34" s="28"/>
      <c r="E34" s="28"/>
      <c r="F34" s="28"/>
      <c r="G34" s="28"/>
      <c r="H34" t="s">
        <v>451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7"/>
      <c r="Y34" s="27"/>
      <c r="Z34" s="36" t="s">
        <v>452</v>
      </c>
      <c r="AA34" s="36" t="s">
        <v>453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</row>
    <row r="35" spans="1:109" ht="64.5">
      <c r="A35" s="34" t="s">
        <v>454</v>
      </c>
      <c r="B35" s="35" t="s">
        <v>455</v>
      </c>
      <c r="C35" s="28"/>
      <c r="D35" s="28"/>
      <c r="E35" s="28"/>
      <c r="F35" s="28"/>
      <c r="G35" s="28"/>
      <c r="H35" t="s">
        <v>456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7"/>
      <c r="Y35" s="27"/>
      <c r="Z35" s="36" t="s">
        <v>457</v>
      </c>
      <c r="AA35" s="36" t="s">
        <v>458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</row>
    <row r="36" spans="1:109" ht="102.75">
      <c r="A36" s="34" t="s">
        <v>459</v>
      </c>
      <c r="B36" s="35" t="s">
        <v>460</v>
      </c>
      <c r="C36" s="28"/>
      <c r="D36" s="28"/>
      <c r="E36" s="28"/>
      <c r="F36" s="28"/>
      <c r="G36" s="28"/>
      <c r="H36" t="s">
        <v>461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7"/>
      <c r="Y36" s="27"/>
      <c r="Z36" s="36" t="s">
        <v>462</v>
      </c>
      <c r="AA36" s="36" t="s">
        <v>463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</row>
    <row r="37" spans="1:109" ht="64.5">
      <c r="A37" s="34" t="s">
        <v>464</v>
      </c>
      <c r="B37" s="35">
        <v>40</v>
      </c>
      <c r="C37" s="28"/>
      <c r="D37" s="28"/>
      <c r="E37" s="28"/>
      <c r="F37" s="28"/>
      <c r="G37" s="28"/>
      <c r="H37" t="s">
        <v>465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7"/>
      <c r="Y37" s="27"/>
      <c r="Z37" s="36" t="s">
        <v>466</v>
      </c>
      <c r="AA37" s="36" t="s">
        <v>467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</row>
    <row r="38" spans="1:109" ht="115.5">
      <c r="A38" s="34" t="s">
        <v>468</v>
      </c>
      <c r="B38" s="35" t="s">
        <v>469</v>
      </c>
      <c r="C38" s="28"/>
      <c r="D38" s="28"/>
      <c r="E38" s="28"/>
      <c r="F38" s="28"/>
      <c r="G38" s="28"/>
      <c r="H38" t="s">
        <v>470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7"/>
      <c r="Y38" s="27"/>
      <c r="Z38" s="36" t="s">
        <v>471</v>
      </c>
      <c r="AA38" s="36" t="s">
        <v>472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</row>
    <row r="39" spans="1:109" ht="64.5">
      <c r="A39" s="34" t="s">
        <v>473</v>
      </c>
      <c r="B39" s="35">
        <v>57</v>
      </c>
      <c r="C39" s="28"/>
      <c r="D39" s="28"/>
      <c r="E39" s="28"/>
      <c r="F39" s="28"/>
      <c r="G39" s="28"/>
      <c r="H39" t="s">
        <v>474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7"/>
      <c r="Y39" s="27"/>
      <c r="Z39" s="36" t="s">
        <v>475</v>
      </c>
      <c r="AA39" s="36" t="s">
        <v>476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</row>
    <row r="40" spans="1:109" ht="64.5">
      <c r="A40" s="34" t="s">
        <v>477</v>
      </c>
      <c r="B40" s="35" t="s">
        <v>478</v>
      </c>
      <c r="C40" s="28"/>
      <c r="D40" s="28"/>
      <c r="E40" s="28"/>
      <c r="F40" s="28"/>
      <c r="G40" s="28"/>
      <c r="H40" t="s">
        <v>479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7"/>
      <c r="Y40" s="27"/>
      <c r="Z40" s="36" t="s">
        <v>480</v>
      </c>
      <c r="AA40" s="36" t="s">
        <v>481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</row>
    <row r="41" spans="1:109" ht="51.75">
      <c r="A41" s="34" t="s">
        <v>482</v>
      </c>
      <c r="B41" s="35" t="s">
        <v>483</v>
      </c>
      <c r="C41" s="28"/>
      <c r="D41" s="28"/>
      <c r="E41" s="28"/>
      <c r="F41" s="28"/>
      <c r="G41" s="28"/>
      <c r="H41" t="s">
        <v>484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7"/>
      <c r="Y41" s="27"/>
      <c r="Z41" s="36" t="s">
        <v>485</v>
      </c>
      <c r="AA41" s="36" t="s">
        <v>486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</row>
    <row r="42" spans="1:109" ht="47.25">
      <c r="A42" s="34" t="s">
        <v>487</v>
      </c>
      <c r="B42" s="35" t="s">
        <v>488</v>
      </c>
      <c r="C42" s="28"/>
      <c r="D42" s="28"/>
      <c r="E42" s="28"/>
      <c r="F42" s="28"/>
      <c r="G42" s="28"/>
      <c r="H42" t="s">
        <v>489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7"/>
      <c r="Y42" s="27"/>
      <c r="Z42" s="36" t="s">
        <v>490</v>
      </c>
      <c r="AA42" s="36" t="s">
        <v>491</v>
      </c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</row>
    <row r="43" spans="1:109" ht="51.75">
      <c r="A43" s="34" t="s">
        <v>492</v>
      </c>
      <c r="B43" s="35" t="s">
        <v>493</v>
      </c>
      <c r="C43" s="28"/>
      <c r="D43" s="28"/>
      <c r="E43" s="28"/>
      <c r="F43" s="28"/>
      <c r="G43" s="28"/>
      <c r="H43" t="s">
        <v>494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7"/>
      <c r="Y43" s="27"/>
      <c r="Z43" s="36" t="s">
        <v>495</v>
      </c>
      <c r="AA43" s="36" t="s">
        <v>496</v>
      </c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</row>
    <row r="44" spans="1:109" ht="39">
      <c r="A44" s="34" t="s">
        <v>497</v>
      </c>
      <c r="B44" s="35" t="s">
        <v>498</v>
      </c>
      <c r="C44" s="28"/>
      <c r="D44" s="28"/>
      <c r="E44" s="28"/>
      <c r="F44" s="28"/>
      <c r="G44" s="28"/>
      <c r="H44" t="s">
        <v>499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7"/>
      <c r="Y44" s="27"/>
      <c r="Z44" s="36" t="s">
        <v>500</v>
      </c>
      <c r="AA44" s="36" t="s">
        <v>501</v>
      </c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</row>
    <row r="45" spans="1:109" ht="26.25">
      <c r="A45" s="34" t="s">
        <v>502</v>
      </c>
      <c r="B45" s="35" t="s">
        <v>503</v>
      </c>
      <c r="C45" s="28"/>
      <c r="D45" s="28"/>
      <c r="E45" s="28"/>
      <c r="F45" s="28"/>
      <c r="G45" s="28"/>
      <c r="H45" t="s">
        <v>504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7"/>
      <c r="Y45" s="27"/>
      <c r="Z45" s="36" t="s">
        <v>505</v>
      </c>
      <c r="AA45" s="36" t="s">
        <v>506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</row>
    <row r="46" spans="1:109" ht="51.75">
      <c r="A46" s="34" t="s">
        <v>507</v>
      </c>
      <c r="B46" s="35" t="s">
        <v>508</v>
      </c>
      <c r="C46" s="28"/>
      <c r="D46" s="28"/>
      <c r="E46" s="28"/>
      <c r="F46" s="28"/>
      <c r="G46" s="28"/>
      <c r="H46" t="s">
        <v>509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7"/>
      <c r="Y46" s="27"/>
      <c r="Z46" s="36" t="s">
        <v>510</v>
      </c>
      <c r="AA46" s="36" t="s">
        <v>511</v>
      </c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</row>
    <row r="47" spans="1:109" ht="39">
      <c r="A47" s="34" t="s">
        <v>512</v>
      </c>
      <c r="B47" s="35">
        <v>45</v>
      </c>
      <c r="C47" s="28"/>
      <c r="D47" s="28"/>
      <c r="E47" s="28"/>
      <c r="F47" s="28"/>
      <c r="G47" s="28"/>
      <c r="H47" t="s">
        <v>513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7"/>
      <c r="Y47" s="27"/>
      <c r="Z47" s="36" t="s">
        <v>514</v>
      </c>
      <c r="AA47" s="36" t="s">
        <v>515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</row>
    <row r="48" spans="1:109" ht="39">
      <c r="A48" s="34" t="s">
        <v>516</v>
      </c>
      <c r="B48" s="35" t="s">
        <v>517</v>
      </c>
      <c r="C48" s="28"/>
      <c r="D48" s="28"/>
      <c r="E48" s="28"/>
      <c r="F48" s="28"/>
      <c r="G48" s="28"/>
      <c r="H48" t="s">
        <v>518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7"/>
      <c r="Y48" s="27"/>
      <c r="Z48" s="36" t="s">
        <v>519</v>
      </c>
      <c r="AA48" s="36" t="s">
        <v>520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</row>
    <row r="49" spans="1:109" ht="51.75">
      <c r="A49" s="34" t="s">
        <v>521</v>
      </c>
      <c r="B49" s="35" t="s">
        <v>522</v>
      </c>
      <c r="C49" s="28"/>
      <c r="D49" s="28"/>
      <c r="E49" s="28"/>
      <c r="F49" s="28"/>
      <c r="G49" s="28"/>
      <c r="H49" t="s">
        <v>523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7"/>
      <c r="Y49" s="27"/>
      <c r="Z49" s="36" t="s">
        <v>524</v>
      </c>
      <c r="AA49" s="36" t="s">
        <v>525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</row>
    <row r="50" spans="1:109" ht="51.75">
      <c r="A50" s="34" t="s">
        <v>526</v>
      </c>
      <c r="B50" s="35" t="s">
        <v>527</v>
      </c>
      <c r="C50" s="28"/>
      <c r="D50" s="28"/>
      <c r="E50" s="28"/>
      <c r="F50" s="28"/>
      <c r="G50" s="28"/>
      <c r="H50" t="s">
        <v>528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7"/>
      <c r="Y50" s="27"/>
      <c r="Z50" s="36" t="s">
        <v>529</v>
      </c>
      <c r="AA50" s="36" t="s">
        <v>530</v>
      </c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</row>
    <row r="51" spans="1:109" ht="51.75">
      <c r="A51" s="34" t="s">
        <v>531</v>
      </c>
      <c r="B51" s="35" t="s">
        <v>532</v>
      </c>
      <c r="C51" s="28"/>
      <c r="D51" s="28"/>
      <c r="E51" s="28"/>
      <c r="F51" s="28"/>
      <c r="G51" s="28"/>
      <c r="H51" t="s">
        <v>533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7"/>
      <c r="Y51" s="27"/>
      <c r="Z51" s="36" t="s">
        <v>534</v>
      </c>
      <c r="AA51" s="36" t="s">
        <v>535</v>
      </c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</row>
    <row r="52" spans="1:109" ht="77.25">
      <c r="A52" s="34" t="s">
        <v>536</v>
      </c>
      <c r="B52" s="35">
        <v>5</v>
      </c>
      <c r="C52" s="28"/>
      <c r="D52" s="28"/>
      <c r="E52" s="28"/>
      <c r="F52" s="28"/>
      <c r="G52" s="28"/>
      <c r="H52" t="s">
        <v>537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7"/>
      <c r="Y52" s="27"/>
      <c r="Z52" s="36" t="s">
        <v>538</v>
      </c>
      <c r="AA52" s="36" t="s">
        <v>539</v>
      </c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</row>
    <row r="53" spans="1:109" ht="64.5">
      <c r="A53" s="34" t="s">
        <v>540</v>
      </c>
      <c r="B53" s="35" t="s">
        <v>541</v>
      </c>
      <c r="C53" s="28"/>
      <c r="D53" s="28"/>
      <c r="E53" s="28"/>
      <c r="F53" s="28"/>
      <c r="G53" s="28"/>
      <c r="H53" t="s">
        <v>542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7"/>
      <c r="Y53" s="27"/>
      <c r="Z53" s="36" t="s">
        <v>543</v>
      </c>
      <c r="AA53" s="36" t="s">
        <v>544</v>
      </c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</row>
    <row r="54" spans="1:109" ht="90">
      <c r="A54" s="34" t="s">
        <v>545</v>
      </c>
      <c r="B54" s="35" t="s">
        <v>546</v>
      </c>
      <c r="C54" s="28"/>
      <c r="D54" s="28"/>
      <c r="E54" s="28"/>
      <c r="F54" s="28"/>
      <c r="G54" s="28"/>
      <c r="H54" t="s">
        <v>547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7"/>
      <c r="Y54" s="27"/>
      <c r="Z54" s="36" t="s">
        <v>548</v>
      </c>
      <c r="AA54" s="36" t="s">
        <v>549</v>
      </c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</row>
    <row r="55" spans="1:109" ht="77.25">
      <c r="A55" s="34" t="s">
        <v>550</v>
      </c>
      <c r="B55" s="35" t="s">
        <v>551</v>
      </c>
      <c r="C55" s="28"/>
      <c r="D55" s="28"/>
      <c r="E55" s="28"/>
      <c r="F55" s="28"/>
      <c r="G55" s="28"/>
      <c r="H55" t="s">
        <v>552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7"/>
      <c r="Y55" s="27"/>
      <c r="Z55" s="36" t="s">
        <v>553</v>
      </c>
      <c r="AA55" s="36" t="s">
        <v>554</v>
      </c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</row>
    <row r="56" spans="1:109" ht="64.5">
      <c r="A56" s="34" t="s">
        <v>555</v>
      </c>
      <c r="B56" s="35" t="s">
        <v>556</v>
      </c>
      <c r="C56" s="28"/>
      <c r="D56" s="28"/>
      <c r="E56" s="28"/>
      <c r="F56" s="28"/>
      <c r="G56" s="28"/>
      <c r="H56" t="s">
        <v>557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7"/>
      <c r="Y56" s="27"/>
      <c r="Z56" s="36" t="s">
        <v>558</v>
      </c>
      <c r="AA56" s="36" t="s">
        <v>559</v>
      </c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</row>
    <row r="57" spans="1:109" ht="31.5">
      <c r="A57" s="34" t="s">
        <v>560</v>
      </c>
      <c r="B57" s="35">
        <v>2</v>
      </c>
      <c r="C57" s="28"/>
      <c r="D57" s="28"/>
      <c r="E57" s="28"/>
      <c r="F57" s="28"/>
      <c r="G57" s="28"/>
      <c r="H57" t="s">
        <v>561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7"/>
      <c r="Y57" s="27"/>
      <c r="Z57" s="36" t="s">
        <v>562</v>
      </c>
      <c r="AA57" s="36" t="s">
        <v>563</v>
      </c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</row>
    <row r="58" spans="1:109" ht="47.25">
      <c r="A58" s="34" t="s">
        <v>564</v>
      </c>
      <c r="B58" s="35" t="s">
        <v>565</v>
      </c>
      <c r="C58" s="28"/>
      <c r="D58" s="28"/>
      <c r="E58" s="28"/>
      <c r="F58" s="28"/>
      <c r="G58" s="28"/>
      <c r="H58" t="s">
        <v>566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7"/>
      <c r="Y58" s="27"/>
      <c r="Z58" s="36" t="s">
        <v>567</v>
      </c>
      <c r="AA58" s="36" t="s">
        <v>568</v>
      </c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</row>
    <row r="59" spans="1:109" ht="64.5">
      <c r="A59" s="34" t="s">
        <v>569</v>
      </c>
      <c r="B59" s="35" t="s">
        <v>570</v>
      </c>
      <c r="C59" s="28"/>
      <c r="D59" s="28"/>
      <c r="E59" s="28"/>
      <c r="F59" s="28"/>
      <c r="G59" s="28"/>
      <c r="H59" t="s">
        <v>571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7"/>
      <c r="Y59" s="27"/>
      <c r="Z59" s="36" t="s">
        <v>572</v>
      </c>
      <c r="AA59" s="36" t="s">
        <v>573</v>
      </c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</row>
    <row r="60" spans="1:109" ht="115.5">
      <c r="A60" s="34" t="s">
        <v>574</v>
      </c>
      <c r="B60" s="35" t="s">
        <v>575</v>
      </c>
      <c r="C60" s="28"/>
      <c r="D60" s="28"/>
      <c r="E60" s="28"/>
      <c r="F60" s="28"/>
      <c r="G60" s="28"/>
      <c r="H60" t="s">
        <v>576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7"/>
      <c r="Y60" s="27"/>
      <c r="Z60" s="36" t="s">
        <v>577</v>
      </c>
      <c r="AA60" s="36" t="s">
        <v>578</v>
      </c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</row>
    <row r="61" spans="1:109" ht="15.75">
      <c r="A61" s="34" t="s">
        <v>579</v>
      </c>
      <c r="B61" s="35">
        <v>20</v>
      </c>
      <c r="C61" s="28"/>
      <c r="D61" s="28"/>
      <c r="E61" s="28"/>
      <c r="F61" s="28"/>
      <c r="G61" s="28"/>
      <c r="H61" t="s">
        <v>580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7"/>
      <c r="Y61" s="27"/>
      <c r="Z61" s="36" t="s">
        <v>581</v>
      </c>
      <c r="AA61" s="36" t="s">
        <v>582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</row>
    <row r="62" spans="1:109" ht="77.25">
      <c r="A62" s="34" t="s">
        <v>583</v>
      </c>
      <c r="B62" s="35">
        <v>3</v>
      </c>
      <c r="C62" s="28"/>
      <c r="D62" s="28"/>
      <c r="E62" s="28"/>
      <c r="F62" s="28"/>
      <c r="G62" s="28"/>
      <c r="H62" t="s">
        <v>584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7"/>
      <c r="Y62" s="27"/>
      <c r="Z62" s="36" t="s">
        <v>585</v>
      </c>
      <c r="AA62" s="36" t="s">
        <v>586</v>
      </c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</row>
    <row r="63" spans="1:109" ht="26.25">
      <c r="A63" s="34" t="s">
        <v>587</v>
      </c>
      <c r="B63" s="35">
        <v>32</v>
      </c>
      <c r="C63" s="28"/>
      <c r="D63" s="28"/>
      <c r="E63" s="28"/>
      <c r="F63" s="28"/>
      <c r="G63" s="28"/>
      <c r="H63" t="s">
        <v>588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7"/>
      <c r="Y63" s="27"/>
      <c r="Z63" s="36" t="s">
        <v>589</v>
      </c>
      <c r="AA63" s="36" t="s">
        <v>590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</row>
    <row r="64" spans="1:109" ht="77.25">
      <c r="A64" s="34" t="s">
        <v>591</v>
      </c>
      <c r="B64" s="35" t="s">
        <v>592</v>
      </c>
      <c r="C64" s="28"/>
      <c r="D64" s="28"/>
      <c r="E64" s="28"/>
      <c r="F64" s="28"/>
      <c r="G64" s="28"/>
      <c r="H64" t="s">
        <v>593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7"/>
      <c r="Y64" s="27"/>
      <c r="Z64" s="36" t="s">
        <v>594</v>
      </c>
      <c r="AA64" s="36" t="s">
        <v>595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</row>
    <row r="65" spans="1:109" ht="77.25">
      <c r="A65" s="34" t="s">
        <v>596</v>
      </c>
      <c r="B65" s="35" t="s">
        <v>597</v>
      </c>
      <c r="C65" s="28"/>
      <c r="D65" s="28"/>
      <c r="E65" s="28"/>
      <c r="F65" s="28"/>
      <c r="G65" s="28"/>
      <c r="H65" t="s">
        <v>598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7"/>
      <c r="Y65" s="27"/>
      <c r="Z65" s="36" t="s">
        <v>599</v>
      </c>
      <c r="AA65" s="36" t="s">
        <v>600</v>
      </c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</row>
    <row r="66" spans="1:109" ht="90">
      <c r="A66" s="34" t="s">
        <v>601</v>
      </c>
      <c r="B66" s="35" t="s">
        <v>602</v>
      </c>
      <c r="C66" s="28"/>
      <c r="D66" s="28"/>
      <c r="E66" s="28"/>
      <c r="F66" s="28"/>
      <c r="G66" s="28"/>
      <c r="H66" t="s">
        <v>603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7"/>
      <c r="Y66" s="27"/>
      <c r="Z66" s="36" t="s">
        <v>604</v>
      </c>
      <c r="AA66" s="36" t="s">
        <v>605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</row>
    <row r="67" spans="1:109" ht="26.25">
      <c r="A67" s="34" t="s">
        <v>606</v>
      </c>
      <c r="B67" s="35" t="s">
        <v>607</v>
      </c>
      <c r="C67" s="28"/>
      <c r="D67" s="28"/>
      <c r="E67" s="28"/>
      <c r="F67" s="28"/>
      <c r="G67" s="28"/>
      <c r="H67" t="s">
        <v>608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7"/>
      <c r="Y67" s="27"/>
      <c r="Z67" s="36" t="s">
        <v>609</v>
      </c>
      <c r="AA67" s="36" t="s">
        <v>610</v>
      </c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</row>
    <row r="68" spans="1:109" ht="102.75">
      <c r="A68" s="34" t="s">
        <v>611</v>
      </c>
      <c r="B68" s="35" t="s">
        <v>612</v>
      </c>
      <c r="C68" s="28"/>
      <c r="D68" s="28"/>
      <c r="E68" s="28"/>
      <c r="F68" s="28"/>
      <c r="G68" s="28"/>
      <c r="H68" t="s">
        <v>613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7"/>
      <c r="Y68" s="27"/>
      <c r="Z68" s="36" t="s">
        <v>614</v>
      </c>
      <c r="AA68" s="36" t="s">
        <v>615</v>
      </c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</row>
    <row r="69" spans="1:109" ht="51.75">
      <c r="A69" s="34" t="s">
        <v>616</v>
      </c>
      <c r="B69" s="35">
        <v>13</v>
      </c>
      <c r="C69" s="28"/>
      <c r="D69" s="28"/>
      <c r="E69" s="28"/>
      <c r="F69" s="28"/>
      <c r="G69" s="28"/>
      <c r="H69" t="s">
        <v>617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7"/>
      <c r="Y69" s="27"/>
      <c r="Z69" s="36" t="s">
        <v>618</v>
      </c>
      <c r="AA69" s="36" t="s">
        <v>619</v>
      </c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</row>
    <row r="70" spans="1:109" ht="39">
      <c r="A70" s="34" t="s">
        <v>620</v>
      </c>
      <c r="B70" s="35" t="s">
        <v>621</v>
      </c>
      <c r="C70" s="28"/>
      <c r="D70" s="28"/>
      <c r="E70" s="28"/>
      <c r="F70" s="28"/>
      <c r="G70" s="28"/>
      <c r="H70" t="s">
        <v>622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7"/>
      <c r="Y70" s="27"/>
      <c r="Z70" s="36" t="s">
        <v>623</v>
      </c>
      <c r="AA70" s="36" t="s">
        <v>624</v>
      </c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</row>
    <row r="71" spans="1:109" ht="64.5">
      <c r="A71" s="34" t="s">
        <v>625</v>
      </c>
      <c r="B71" s="35" t="s">
        <v>626</v>
      </c>
      <c r="C71" s="28"/>
      <c r="D71" s="28"/>
      <c r="E71" s="28"/>
      <c r="F71" s="28"/>
      <c r="G71" s="28"/>
      <c r="H71" t="s">
        <v>627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7"/>
      <c r="Y71" s="27"/>
      <c r="Z71" s="36" t="s">
        <v>628</v>
      </c>
      <c r="AA71" s="36" t="s">
        <v>629</v>
      </c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</row>
    <row r="72" spans="1:109" ht="39">
      <c r="A72" s="34" t="s">
        <v>630</v>
      </c>
      <c r="B72" s="35" t="s">
        <v>631</v>
      </c>
      <c r="C72" s="28"/>
      <c r="D72" s="28"/>
      <c r="E72" s="28"/>
      <c r="F72" s="28"/>
      <c r="G72" s="28"/>
      <c r="H72" t="s">
        <v>632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7"/>
      <c r="Y72" s="27"/>
      <c r="Z72" s="36" t="s">
        <v>633</v>
      </c>
      <c r="AA72" s="36" t="s">
        <v>634</v>
      </c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</row>
    <row r="73" spans="1:109" ht="39">
      <c r="A73" s="34" t="s">
        <v>635</v>
      </c>
      <c r="B73" s="35">
        <v>37</v>
      </c>
      <c r="C73" s="28"/>
      <c r="D73" s="28"/>
      <c r="E73" s="28"/>
      <c r="F73" s="28"/>
      <c r="G73" s="28"/>
      <c r="H73" t="s">
        <v>636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7"/>
      <c r="Y73" s="27"/>
      <c r="Z73" s="36" t="s">
        <v>637</v>
      </c>
      <c r="AA73" s="36" t="s">
        <v>638</v>
      </c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</row>
    <row r="74" spans="1:109" ht="15.75">
      <c r="A74" s="34" t="s">
        <v>639</v>
      </c>
      <c r="B74" s="35" t="s">
        <v>640</v>
      </c>
      <c r="C74" s="28"/>
      <c r="D74" s="28"/>
      <c r="E74" s="28"/>
      <c r="F74" s="28"/>
      <c r="G74" s="28"/>
      <c r="H74" t="s">
        <v>641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7"/>
      <c r="Y74" s="27"/>
      <c r="Z74" s="36" t="s">
        <v>642</v>
      </c>
      <c r="AA74" s="36" t="s">
        <v>643</v>
      </c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</row>
    <row r="75" spans="1:109" ht="31.5">
      <c r="A75" s="34" t="s">
        <v>644</v>
      </c>
      <c r="B75" s="35" t="s">
        <v>645</v>
      </c>
      <c r="C75" s="28"/>
      <c r="D75" s="28"/>
      <c r="E75" s="28"/>
      <c r="F75" s="28"/>
      <c r="G75" s="28"/>
      <c r="H75" t="s">
        <v>646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7"/>
      <c r="Y75" s="27"/>
      <c r="Z75" s="36" t="s">
        <v>647</v>
      </c>
      <c r="AA75" s="36" t="s">
        <v>648</v>
      </c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</row>
    <row r="76" spans="1:109" ht="39">
      <c r="A76" s="34" t="s">
        <v>649</v>
      </c>
      <c r="B76" s="35" t="s">
        <v>650</v>
      </c>
      <c r="C76" s="28"/>
      <c r="D76" s="28"/>
      <c r="E76" s="28"/>
      <c r="F76" s="28"/>
      <c r="G76" s="28"/>
      <c r="H76" t="s">
        <v>651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7"/>
      <c r="Y76" s="27"/>
      <c r="Z76" s="36" t="s">
        <v>652</v>
      </c>
      <c r="AA76" s="36" t="s">
        <v>653</v>
      </c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</row>
    <row r="77" spans="1:109" ht="51.75">
      <c r="A77" s="34" t="s">
        <v>654</v>
      </c>
      <c r="B77" s="38" t="s">
        <v>655</v>
      </c>
      <c r="C77" s="28"/>
      <c r="D77" s="28"/>
      <c r="E77" s="28"/>
      <c r="F77" s="28"/>
      <c r="G77" s="28"/>
      <c r="H77" t="s">
        <v>656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7"/>
      <c r="Y77" s="27"/>
      <c r="Z77" s="36" t="s">
        <v>657</v>
      </c>
      <c r="AA77" s="36" t="s">
        <v>658</v>
      </c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</row>
    <row r="78" spans="1:109" ht="90">
      <c r="A78" s="34" t="s">
        <v>659</v>
      </c>
      <c r="B78" s="35">
        <v>22</v>
      </c>
      <c r="C78" s="28"/>
      <c r="D78" s="28"/>
      <c r="E78" s="28"/>
      <c r="F78" s="28"/>
      <c r="G78" s="28"/>
      <c r="H78" t="s">
        <v>660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7"/>
      <c r="Y78" s="27"/>
      <c r="Z78" s="36" t="s">
        <v>661</v>
      </c>
      <c r="AA78" s="36" t="s">
        <v>662</v>
      </c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</row>
    <row r="79" spans="1:109" ht="47.25">
      <c r="A79" s="34" t="s">
        <v>663</v>
      </c>
      <c r="B79" s="35" t="s">
        <v>664</v>
      </c>
      <c r="C79" s="28"/>
      <c r="D79" s="28"/>
      <c r="E79" s="28"/>
      <c r="F79" s="28"/>
      <c r="G79" s="28"/>
      <c r="H79" t="s">
        <v>665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7"/>
      <c r="Y79" s="27"/>
      <c r="Z79" s="36" t="s">
        <v>666</v>
      </c>
      <c r="AA79" s="36" t="s">
        <v>667</v>
      </c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</row>
    <row r="80" spans="1:109" ht="77.25">
      <c r="A80" s="34" t="s">
        <v>668</v>
      </c>
      <c r="B80" s="35" t="s">
        <v>669</v>
      </c>
      <c r="C80" s="28"/>
      <c r="D80" s="28"/>
      <c r="E80" s="28"/>
      <c r="F80" s="28"/>
      <c r="G80" s="28"/>
      <c r="H80" t="s">
        <v>670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7"/>
      <c r="Y80" s="27"/>
      <c r="Z80" s="36" t="s">
        <v>671</v>
      </c>
      <c r="AA80" s="36" t="s">
        <v>672</v>
      </c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</row>
    <row r="81" spans="1:109" ht="115.5">
      <c r="A81" s="34" t="s">
        <v>673</v>
      </c>
      <c r="B81" s="35" t="s">
        <v>674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7"/>
      <c r="Y81" s="27"/>
      <c r="Z81" s="36" t="s">
        <v>675</v>
      </c>
      <c r="AA81" s="36" t="s">
        <v>676</v>
      </c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</row>
    <row r="82" spans="1:109" ht="39">
      <c r="A82" s="34" t="s">
        <v>677</v>
      </c>
      <c r="B82" s="35" t="s">
        <v>678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7"/>
      <c r="Y82" s="27"/>
      <c r="Z82" s="36" t="s">
        <v>679</v>
      </c>
      <c r="AA82" s="36" t="s">
        <v>680</v>
      </c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</row>
    <row r="83" spans="1:109" ht="64.5">
      <c r="A83" s="34" t="s">
        <v>681</v>
      </c>
      <c r="B83" s="35" t="s">
        <v>682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7"/>
      <c r="Y83" s="27"/>
      <c r="Z83" s="36" t="s">
        <v>683</v>
      </c>
      <c r="AA83" s="36" t="s">
        <v>684</v>
      </c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</row>
    <row r="84" spans="1:109" ht="39">
      <c r="A84" s="34" t="s">
        <v>685</v>
      </c>
      <c r="B84" s="35" t="s">
        <v>686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7"/>
      <c r="Y84" s="27"/>
      <c r="Z84" s="36" t="s">
        <v>687</v>
      </c>
      <c r="AA84" s="36" t="s">
        <v>688</v>
      </c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</row>
    <row r="85" spans="1:109" ht="51.75">
      <c r="A85" s="34" t="s">
        <v>689</v>
      </c>
      <c r="B85" s="35" t="s">
        <v>690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7"/>
      <c r="Y85" s="27"/>
      <c r="Z85" s="36" t="s">
        <v>691</v>
      </c>
      <c r="AA85" s="36" t="s">
        <v>692</v>
      </c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</row>
    <row r="86" spans="1:109" ht="64.5">
      <c r="A86" s="34" t="s">
        <v>693</v>
      </c>
      <c r="B86" s="35">
        <v>41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7"/>
      <c r="Y86" s="27"/>
      <c r="Z86" s="36" t="s">
        <v>694</v>
      </c>
      <c r="AA86" s="36" t="s">
        <v>695</v>
      </c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</row>
    <row r="87" spans="1:109" ht="77.25">
      <c r="A87" s="34" t="s">
        <v>696</v>
      </c>
      <c r="B87" s="35" t="s">
        <v>697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7"/>
      <c r="Y87" s="27"/>
      <c r="Z87" s="36" t="s">
        <v>698</v>
      </c>
      <c r="AA87" s="36" t="s">
        <v>699</v>
      </c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</row>
    <row r="88" spans="1:109" ht="64.5">
      <c r="A88" s="34" t="s">
        <v>700</v>
      </c>
      <c r="B88" s="35" t="s">
        <v>701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7"/>
      <c r="Y88" s="27"/>
      <c r="Z88" s="36" t="s">
        <v>702</v>
      </c>
      <c r="AA88" s="36" t="s">
        <v>703</v>
      </c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</row>
    <row r="89" spans="1:109" ht="90">
      <c r="A89" s="34" t="s">
        <v>704</v>
      </c>
      <c r="B89" s="35">
        <v>4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7"/>
      <c r="Y89" s="27"/>
      <c r="Z89" s="36" t="s">
        <v>705</v>
      </c>
      <c r="AA89" s="36" t="s">
        <v>706</v>
      </c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</row>
    <row r="90" spans="1:109" ht="115.5">
      <c r="A90" s="34" t="s">
        <v>707</v>
      </c>
      <c r="B90" s="35" t="s">
        <v>708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7"/>
      <c r="Y90" s="27"/>
      <c r="Z90" s="36" t="s">
        <v>709</v>
      </c>
      <c r="AA90" s="36" t="s">
        <v>710</v>
      </c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</row>
    <row r="91" spans="1:109" ht="26.25">
      <c r="A91" s="34" t="s">
        <v>711</v>
      </c>
      <c r="B91" s="35">
        <v>23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7"/>
      <c r="Y91" s="27"/>
      <c r="Z91" s="36" t="s">
        <v>712</v>
      </c>
      <c r="AA91" s="36" t="s">
        <v>713</v>
      </c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</row>
    <row r="92" spans="1:109" ht="78.75">
      <c r="A92" s="34" t="s">
        <v>714</v>
      </c>
      <c r="B92" s="35" t="s">
        <v>715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7"/>
      <c r="Y92" s="27"/>
      <c r="Z92" s="36" t="s">
        <v>716</v>
      </c>
      <c r="AA92" s="36" t="s">
        <v>717</v>
      </c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</row>
    <row r="93" spans="1:109" ht="51.75">
      <c r="A93" s="34" t="s">
        <v>718</v>
      </c>
      <c r="B93" s="35" t="s">
        <v>719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7"/>
      <c r="Y93" s="27"/>
      <c r="Z93" s="36" t="s">
        <v>720</v>
      </c>
      <c r="AA93" s="36" t="s">
        <v>721</v>
      </c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</row>
    <row r="94" spans="1:109" ht="51.75">
      <c r="A94" s="34" t="s">
        <v>722</v>
      </c>
      <c r="B94" s="35" t="s">
        <v>723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7"/>
      <c r="Y94" s="27"/>
      <c r="Z94" s="36" t="s">
        <v>724</v>
      </c>
      <c r="AA94" s="36" t="s">
        <v>725</v>
      </c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</row>
    <row r="95" spans="1:109" ht="77.25">
      <c r="A95" s="34" t="s">
        <v>726</v>
      </c>
      <c r="B95" s="35" t="s">
        <v>727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7"/>
      <c r="Y95" s="27"/>
      <c r="Z95" s="36" t="s">
        <v>728</v>
      </c>
      <c r="AA95" s="36" t="s">
        <v>729</v>
      </c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</row>
    <row r="96" spans="1:109" ht="115.5">
      <c r="A96" s="34" t="s">
        <v>730</v>
      </c>
      <c r="B96" s="35" t="s">
        <v>731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7"/>
      <c r="Y96" s="27"/>
      <c r="Z96" s="36" t="s">
        <v>732</v>
      </c>
      <c r="AA96" s="36" t="s">
        <v>733</v>
      </c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</row>
    <row r="97" spans="1:109" ht="39">
      <c r="A97" s="34" t="s">
        <v>734</v>
      </c>
      <c r="B97" s="35" t="s">
        <v>735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7"/>
      <c r="Y97" s="27"/>
      <c r="Z97" s="36" t="s">
        <v>736</v>
      </c>
      <c r="AA97" s="36" t="s">
        <v>737</v>
      </c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</row>
    <row r="98" spans="1:109" ht="77.25">
      <c r="A98" s="34" t="s">
        <v>738</v>
      </c>
      <c r="B98" s="35" t="s">
        <v>739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7"/>
      <c r="Y98" s="27"/>
      <c r="Z98" s="36" t="s">
        <v>740</v>
      </c>
      <c r="AA98" s="36" t="s">
        <v>741</v>
      </c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</row>
    <row r="99" spans="1:109" ht="26.25">
      <c r="A99" s="34" t="s">
        <v>742</v>
      </c>
      <c r="B99" s="35" t="s">
        <v>743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7"/>
      <c r="Y99" s="27"/>
      <c r="Z99" s="36" t="s">
        <v>744</v>
      </c>
      <c r="AA99" s="36" t="s">
        <v>745</v>
      </c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</row>
    <row r="100" spans="1:109" ht="26.25">
      <c r="A100" s="34" t="s">
        <v>746</v>
      </c>
      <c r="B100" s="35" t="s">
        <v>747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7"/>
      <c r="Y100" s="27"/>
      <c r="Z100" s="36" t="s">
        <v>748</v>
      </c>
      <c r="AA100" s="36" t="s">
        <v>749</v>
      </c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</row>
    <row r="101" spans="1:109" ht="39">
      <c r="A101" s="34" t="s">
        <v>750</v>
      </c>
      <c r="B101" s="35">
        <v>12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7"/>
      <c r="Y101" s="27"/>
      <c r="Z101" s="36" t="s">
        <v>751</v>
      </c>
      <c r="AA101" s="36" t="s">
        <v>752</v>
      </c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</row>
    <row r="102" spans="1:109" ht="64.5">
      <c r="A102" s="34" t="s">
        <v>753</v>
      </c>
      <c r="B102" s="35" t="s">
        <v>754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7"/>
      <c r="Y102" s="27"/>
      <c r="Z102" s="36" t="s">
        <v>755</v>
      </c>
      <c r="AA102" s="36" t="s">
        <v>756</v>
      </c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</row>
    <row r="103" spans="1:109" ht="39">
      <c r="A103" s="34" t="s">
        <v>757</v>
      </c>
      <c r="B103" s="35" t="s">
        <v>758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7"/>
      <c r="Y103" s="27"/>
      <c r="Z103" s="36" t="s">
        <v>759</v>
      </c>
      <c r="AA103" s="36" t="s">
        <v>760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</row>
    <row r="104" spans="1:109" ht="39">
      <c r="A104" s="34" t="s">
        <v>761</v>
      </c>
      <c r="B104" s="35" t="s">
        <v>762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7"/>
      <c r="Y104" s="27"/>
      <c r="Z104" s="36" t="s">
        <v>763</v>
      </c>
      <c r="AA104" s="36" t="s">
        <v>764</v>
      </c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</row>
    <row r="105" spans="1:109" ht="77.25">
      <c r="A105" s="34" t="s">
        <v>765</v>
      </c>
      <c r="B105" s="35" t="s">
        <v>766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7"/>
      <c r="Y105" s="27"/>
      <c r="Z105" s="36" t="s">
        <v>767</v>
      </c>
      <c r="AA105" s="36" t="s">
        <v>768</v>
      </c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</row>
    <row r="106" spans="1:109" ht="77.25">
      <c r="A106" s="34" t="s">
        <v>769</v>
      </c>
      <c r="B106" s="35">
        <v>14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7"/>
      <c r="Y106" s="27"/>
      <c r="Z106" s="36" t="s">
        <v>770</v>
      </c>
      <c r="AA106" s="36" t="s">
        <v>771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</row>
    <row r="107" spans="1:109" ht="39">
      <c r="A107" s="34" t="s">
        <v>772</v>
      </c>
      <c r="B107" s="35">
        <v>54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7"/>
      <c r="Y107" s="27"/>
      <c r="Z107" s="36" t="s">
        <v>773</v>
      </c>
      <c r="AA107" s="36" t="s">
        <v>774</v>
      </c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</row>
    <row r="108" spans="1:109" ht="64.5">
      <c r="A108" s="34" t="s">
        <v>775</v>
      </c>
      <c r="B108" s="35" t="s">
        <v>776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7"/>
      <c r="Y108" s="27"/>
      <c r="Z108" s="36" t="s">
        <v>777</v>
      </c>
      <c r="AA108" s="36" t="s">
        <v>778</v>
      </c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</row>
    <row r="109" spans="1:109" ht="64.5">
      <c r="A109" s="34" t="s">
        <v>779</v>
      </c>
      <c r="B109" s="35" t="s">
        <v>780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7"/>
      <c r="Y109" s="27"/>
      <c r="Z109" s="36" t="s">
        <v>781</v>
      </c>
      <c r="AA109" s="36" t="s">
        <v>782</v>
      </c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</row>
    <row r="110" spans="1:109" ht="47.25">
      <c r="A110" s="34" t="s">
        <v>783</v>
      </c>
      <c r="B110" s="35" t="s">
        <v>784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7"/>
      <c r="Y110" s="27"/>
      <c r="Z110" s="36" t="s">
        <v>785</v>
      </c>
      <c r="AA110" s="36" t="s">
        <v>786</v>
      </c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</row>
    <row r="111" spans="1:109" ht="115.5">
      <c r="A111" s="34" t="s">
        <v>787</v>
      </c>
      <c r="B111" s="35" t="s">
        <v>788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7"/>
      <c r="Y111" s="27"/>
      <c r="Z111" s="36" t="s">
        <v>789</v>
      </c>
      <c r="AA111" s="36" t="s">
        <v>790</v>
      </c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</row>
    <row r="112" spans="1:109" ht="51.75">
      <c r="A112" s="34" t="s">
        <v>791</v>
      </c>
      <c r="B112" s="35">
        <v>49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7"/>
      <c r="Y112" s="27"/>
      <c r="Z112" s="36" t="s">
        <v>792</v>
      </c>
      <c r="AA112" s="36" t="s">
        <v>793</v>
      </c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</row>
    <row r="113" spans="1:109" ht="31.5">
      <c r="A113" s="34" t="s">
        <v>794</v>
      </c>
      <c r="B113" s="35" t="s">
        <v>795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7"/>
      <c r="Y113" s="27"/>
      <c r="Z113" s="36" t="s">
        <v>796</v>
      </c>
      <c r="AA113" s="36" t="s">
        <v>797</v>
      </c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</row>
    <row r="114" spans="1:109" ht="64.5">
      <c r="A114" s="34" t="s">
        <v>798</v>
      </c>
      <c r="B114" s="35" t="s">
        <v>799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7"/>
      <c r="Y114" s="27"/>
      <c r="Z114" s="36" t="s">
        <v>800</v>
      </c>
      <c r="AA114" s="36" t="s">
        <v>801</v>
      </c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</row>
    <row r="115" spans="1:109" ht="77.25">
      <c r="A115" s="34" t="s">
        <v>802</v>
      </c>
      <c r="B115" s="35" t="s">
        <v>803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7"/>
      <c r="Y115" s="27"/>
      <c r="Z115" s="36" t="s">
        <v>804</v>
      </c>
      <c r="AA115" s="36" t="s">
        <v>805</v>
      </c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</row>
    <row r="116" spans="1:109" ht="39">
      <c r="A116" s="34" t="s">
        <v>806</v>
      </c>
      <c r="B116" s="35">
        <v>36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7"/>
      <c r="Y116" s="27"/>
      <c r="Z116" s="36" t="s">
        <v>807</v>
      </c>
      <c r="AA116" s="36" t="s">
        <v>808</v>
      </c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</row>
    <row r="117" spans="1:109" ht="39">
      <c r="A117" s="34" t="s">
        <v>809</v>
      </c>
      <c r="B117" s="35" t="s">
        <v>810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7"/>
      <c r="Y117" s="27"/>
      <c r="Z117" s="36" t="s">
        <v>811</v>
      </c>
      <c r="AA117" s="36" t="s">
        <v>812</v>
      </c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</row>
    <row r="118" spans="1:109" ht="64.5">
      <c r="A118" s="34" t="s">
        <v>813</v>
      </c>
      <c r="B118" s="35" t="s">
        <v>814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7"/>
      <c r="Y118" s="27"/>
      <c r="Z118" s="36" t="s">
        <v>815</v>
      </c>
      <c r="AA118" s="36" t="s">
        <v>816</v>
      </c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</row>
    <row r="119" spans="1:109" ht="64.5">
      <c r="A119" s="34" t="s">
        <v>817</v>
      </c>
      <c r="B119" s="35" t="s">
        <v>818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7"/>
      <c r="Y119" s="27"/>
      <c r="Z119" s="36" t="s">
        <v>819</v>
      </c>
      <c r="AA119" s="36" t="s">
        <v>820</v>
      </c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</row>
    <row r="120" spans="1:109" ht="77.25">
      <c r="A120" s="34" t="s">
        <v>821</v>
      </c>
      <c r="B120" s="35" t="s">
        <v>822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7"/>
      <c r="Y120" s="27"/>
      <c r="Z120" s="36" t="s">
        <v>823</v>
      </c>
      <c r="AA120" s="36" t="s">
        <v>824</v>
      </c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</row>
    <row r="121" spans="1:109" ht="64.5">
      <c r="A121" s="34" t="s">
        <v>825</v>
      </c>
      <c r="B121" s="35" t="s">
        <v>826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7"/>
      <c r="Y121" s="27"/>
      <c r="Z121" s="36" t="s">
        <v>827</v>
      </c>
      <c r="AA121" s="36" t="s">
        <v>828</v>
      </c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</row>
    <row r="122" spans="1:109" ht="39">
      <c r="A122" s="34" t="s">
        <v>829</v>
      </c>
      <c r="B122" s="35" t="s">
        <v>830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7"/>
      <c r="Y122" s="27"/>
      <c r="Z122" s="36" t="s">
        <v>831</v>
      </c>
      <c r="AA122" s="36" t="s">
        <v>832</v>
      </c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</row>
    <row r="123" spans="1:109" ht="64.5">
      <c r="A123" s="34" t="s">
        <v>833</v>
      </c>
      <c r="B123" s="35" t="s">
        <v>834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7"/>
      <c r="Y123" s="27"/>
      <c r="Z123" s="36" t="s">
        <v>835</v>
      </c>
      <c r="AA123" s="36" t="s">
        <v>836</v>
      </c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</row>
    <row r="124" spans="1:109" ht="64.5">
      <c r="A124" s="34" t="s">
        <v>837</v>
      </c>
      <c r="B124" s="35">
        <v>29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7"/>
      <c r="Y124" s="27"/>
      <c r="Z124" s="36" t="s">
        <v>838</v>
      </c>
      <c r="AA124" s="36" t="s">
        <v>839</v>
      </c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</row>
    <row r="125" spans="1:109" ht="51.75">
      <c r="A125" s="34" t="s">
        <v>840</v>
      </c>
      <c r="B125" s="35" t="s">
        <v>841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7"/>
      <c r="Y125" s="27"/>
      <c r="Z125" s="36" t="s">
        <v>842</v>
      </c>
      <c r="AA125" s="36" t="s">
        <v>843</v>
      </c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</row>
    <row r="126" spans="1:109" ht="26.25">
      <c r="A126" s="34" t="s">
        <v>844</v>
      </c>
      <c r="B126" s="35" t="s">
        <v>845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7"/>
      <c r="Y126" s="27"/>
      <c r="Z126" s="36" t="s">
        <v>846</v>
      </c>
      <c r="AA126" s="36" t="s">
        <v>847</v>
      </c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</row>
    <row r="127" spans="1:109" ht="77.25">
      <c r="A127" s="34" t="s">
        <v>848</v>
      </c>
      <c r="B127" s="35">
        <v>26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7"/>
      <c r="Y127" s="27"/>
      <c r="Z127" s="36" t="s">
        <v>849</v>
      </c>
      <c r="AA127" s="36" t="s">
        <v>850</v>
      </c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</row>
    <row r="128" spans="1:109" ht="39">
      <c r="A128" s="34" t="s">
        <v>851</v>
      </c>
      <c r="B128" s="35">
        <v>34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7"/>
      <c r="Y128" s="27"/>
      <c r="Z128" s="36" t="s">
        <v>852</v>
      </c>
      <c r="AA128" s="36" t="s">
        <v>853</v>
      </c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</row>
    <row r="129" spans="1:109" ht="31.5">
      <c r="A129" s="34" t="s">
        <v>854</v>
      </c>
      <c r="B129" s="35" t="s">
        <v>855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7"/>
      <c r="Y129" s="27"/>
      <c r="Z129" s="36" t="s">
        <v>856</v>
      </c>
      <c r="AA129" s="36" t="s">
        <v>857</v>
      </c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</row>
    <row r="130" spans="1:109" ht="26.25">
      <c r="A130" s="34" t="s">
        <v>858</v>
      </c>
      <c r="B130" s="35" t="s">
        <v>859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7"/>
      <c r="Y130" s="27"/>
      <c r="Z130" s="36" t="s">
        <v>860</v>
      </c>
      <c r="AA130" s="36" t="s">
        <v>861</v>
      </c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</row>
    <row r="131" spans="1:109" ht="51.75">
      <c r="A131" s="34" t="s">
        <v>862</v>
      </c>
      <c r="B131" s="35">
        <v>11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7"/>
      <c r="Y131" s="27"/>
      <c r="Z131" s="36" t="s">
        <v>863</v>
      </c>
      <c r="AA131" s="36" t="s">
        <v>864</v>
      </c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</row>
    <row r="132" spans="1:109" ht="31.5">
      <c r="A132" s="34" t="s">
        <v>865</v>
      </c>
      <c r="B132" s="35">
        <v>1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7"/>
      <c r="Y132" s="27"/>
      <c r="Z132" s="36" t="s">
        <v>866</v>
      </c>
      <c r="AA132" s="36" t="s">
        <v>867</v>
      </c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</row>
    <row r="133" spans="1:109" ht="64.5">
      <c r="A133" s="34" t="s">
        <v>868</v>
      </c>
      <c r="B133" s="35" t="s">
        <v>869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7"/>
      <c r="Y133" s="27"/>
      <c r="Z133" s="36" t="s">
        <v>870</v>
      </c>
      <c r="AA133" s="36" t="s">
        <v>871</v>
      </c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</row>
    <row r="134" spans="1:109" ht="51.75">
      <c r="A134" s="34" t="s">
        <v>872</v>
      </c>
      <c r="B134" s="35" t="s">
        <v>873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7"/>
      <c r="Y134" s="27"/>
      <c r="Z134" s="36" t="s">
        <v>874</v>
      </c>
      <c r="AA134" s="36" t="s">
        <v>875</v>
      </c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</row>
    <row r="135" spans="1:109" ht="64.5">
      <c r="A135" s="34" t="s">
        <v>876</v>
      </c>
      <c r="B135" s="35" t="s">
        <v>877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7"/>
      <c r="Y135" s="27"/>
      <c r="Z135" s="36" t="s">
        <v>878</v>
      </c>
      <c r="AA135" s="36" t="s">
        <v>879</v>
      </c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</row>
    <row r="136" spans="1:109" ht="64.5">
      <c r="A136" s="34" t="s">
        <v>880</v>
      </c>
      <c r="B136" s="35" t="s">
        <v>881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7"/>
      <c r="Y136" s="27"/>
      <c r="Z136" s="36" t="s">
        <v>882</v>
      </c>
      <c r="AA136" s="36" t="s">
        <v>883</v>
      </c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</row>
    <row r="137" spans="1:109" ht="39">
      <c r="A137" s="34" t="s">
        <v>884</v>
      </c>
      <c r="B137" s="35" t="s">
        <v>885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7"/>
      <c r="Y137" s="27"/>
      <c r="Z137" s="36" t="s">
        <v>886</v>
      </c>
      <c r="AA137" s="36" t="s">
        <v>887</v>
      </c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</row>
    <row r="138" spans="1:109" ht="31.5">
      <c r="A138" s="34" t="s">
        <v>888</v>
      </c>
      <c r="B138" s="35" t="s">
        <v>889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7"/>
      <c r="Y138" s="27"/>
      <c r="Z138" s="36" t="s">
        <v>890</v>
      </c>
      <c r="AA138" s="36" t="s">
        <v>891</v>
      </c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</row>
    <row r="139" spans="1:109" ht="90">
      <c r="A139" s="34" t="s">
        <v>892</v>
      </c>
      <c r="B139" s="35" t="s">
        <v>893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7"/>
      <c r="Y139" s="27"/>
      <c r="Z139" s="36" t="s">
        <v>894</v>
      </c>
      <c r="AA139" s="36" t="s">
        <v>895</v>
      </c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</row>
    <row r="140" spans="1:109" ht="90">
      <c r="A140" s="34" t="s">
        <v>896</v>
      </c>
      <c r="B140" s="35" t="s">
        <v>897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7"/>
      <c r="Y140" s="27"/>
      <c r="Z140" s="36" t="s">
        <v>898</v>
      </c>
      <c r="AA140" s="36" t="s">
        <v>899</v>
      </c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</row>
    <row r="141" spans="1:109" ht="102.75">
      <c r="A141" s="34" t="s">
        <v>900</v>
      </c>
      <c r="B141" s="35" t="s">
        <v>901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7"/>
      <c r="Y141" s="27"/>
      <c r="Z141" s="36" t="s">
        <v>902</v>
      </c>
      <c r="AA141" s="36" t="s">
        <v>903</v>
      </c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</row>
    <row r="142" spans="1:109" ht="39">
      <c r="A142" s="34" t="s">
        <v>1</v>
      </c>
      <c r="B142" s="35">
        <v>9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7"/>
      <c r="Y142" s="27"/>
      <c r="Z142" s="36" t="s">
        <v>904</v>
      </c>
      <c r="AA142" s="36" t="s">
        <v>905</v>
      </c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</row>
    <row r="143" spans="1:109" ht="77.25">
      <c r="A143" s="34" t="s">
        <v>906</v>
      </c>
      <c r="B143" s="35">
        <v>43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7"/>
      <c r="Y143" s="27"/>
      <c r="Z143" s="36" t="s">
        <v>907</v>
      </c>
      <c r="AA143" s="36" t="s">
        <v>908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</row>
    <row r="144" spans="1:109" ht="102.75">
      <c r="A144" s="34" t="s">
        <v>909</v>
      </c>
      <c r="B144" s="35" t="s">
        <v>910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7"/>
      <c r="Y144" s="27"/>
      <c r="Z144" s="36" t="s">
        <v>911</v>
      </c>
      <c r="AA144" s="36" t="s">
        <v>912</v>
      </c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</row>
    <row r="145" spans="1:109" ht="64.5">
      <c r="A145" s="34" t="s">
        <v>913</v>
      </c>
      <c r="B145" s="35" t="s">
        <v>914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7"/>
      <c r="Y145" s="27"/>
      <c r="Z145" s="36" t="s">
        <v>915</v>
      </c>
      <c r="AA145" s="36" t="s">
        <v>916</v>
      </c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</row>
    <row r="146" spans="1:109" ht="47.25">
      <c r="A146" s="34" t="s">
        <v>917</v>
      </c>
      <c r="B146" s="35" t="s">
        <v>918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7"/>
      <c r="Y146" s="27"/>
      <c r="Z146" s="36" t="s">
        <v>919</v>
      </c>
      <c r="AA146" s="36" t="s">
        <v>920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</row>
    <row r="147" spans="1:109" ht="47.25">
      <c r="A147" s="34" t="s">
        <v>921</v>
      </c>
      <c r="B147" s="35" t="s">
        <v>922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7"/>
      <c r="Y147" s="27"/>
      <c r="Z147" s="36" t="s">
        <v>923</v>
      </c>
      <c r="AA147" s="36" t="s">
        <v>924</v>
      </c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</row>
    <row r="148" spans="1:109" ht="51.75">
      <c r="A148" s="34" t="s">
        <v>925</v>
      </c>
      <c r="B148" s="35">
        <v>24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7"/>
      <c r="Y148" s="27"/>
      <c r="Z148" s="36" t="s">
        <v>926</v>
      </c>
      <c r="AA148" s="36" t="s">
        <v>927</v>
      </c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</row>
    <row r="149" spans="1:109" ht="77.25">
      <c r="A149" s="34" t="s">
        <v>928</v>
      </c>
      <c r="B149" s="35">
        <v>42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7"/>
      <c r="Y149" s="27"/>
      <c r="Z149" s="36" t="s">
        <v>929</v>
      </c>
      <c r="AA149" s="36" t="s">
        <v>930</v>
      </c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</row>
    <row r="150" spans="1:109" ht="102.75">
      <c r="A150" s="34" t="s">
        <v>931</v>
      </c>
      <c r="B150" s="35" t="s">
        <v>932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7"/>
      <c r="Y150" s="27"/>
      <c r="Z150" s="36" t="s">
        <v>933</v>
      </c>
      <c r="AA150" s="36" t="s">
        <v>934</v>
      </c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</row>
    <row r="151" spans="1:109" ht="90">
      <c r="A151" s="34" t="s">
        <v>935</v>
      </c>
      <c r="B151" s="35" t="s">
        <v>936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7"/>
      <c r="Y151" s="27"/>
      <c r="Z151" s="36" t="s">
        <v>937</v>
      </c>
      <c r="AA151" s="36" t="s">
        <v>938</v>
      </c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</row>
    <row r="152" spans="1:109" ht="90">
      <c r="A152" s="34" t="s">
        <v>939</v>
      </c>
      <c r="B152" s="35" t="s">
        <v>940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7"/>
      <c r="Y152" s="27"/>
      <c r="Z152" s="36" t="s">
        <v>941</v>
      </c>
      <c r="AA152" s="36" t="s">
        <v>942</v>
      </c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</row>
    <row r="153" spans="1:109" ht="51.75">
      <c r="A153" s="34" t="s">
        <v>943</v>
      </c>
      <c r="B153" s="35">
        <v>19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7"/>
      <c r="Y153" s="27"/>
      <c r="Z153" s="36" t="s">
        <v>944</v>
      </c>
      <c r="AA153" s="36" t="s">
        <v>945</v>
      </c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</row>
    <row r="154" spans="1:109" ht="51.75">
      <c r="A154" s="34" t="s">
        <v>946</v>
      </c>
      <c r="B154" s="35">
        <v>48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7"/>
      <c r="Y154" s="27"/>
      <c r="Z154" s="36" t="s">
        <v>947</v>
      </c>
      <c r="AA154" s="36" t="s">
        <v>948</v>
      </c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</row>
    <row r="155" spans="1:109" ht="31.5">
      <c r="A155" s="34" t="s">
        <v>949</v>
      </c>
      <c r="B155" s="35" t="s">
        <v>950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7"/>
      <c r="Y155" s="27"/>
      <c r="Z155" s="36" t="s">
        <v>951</v>
      </c>
      <c r="AA155" s="36" t="s">
        <v>952</v>
      </c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</row>
    <row r="156" spans="1:109" ht="51.75">
      <c r="A156" s="34" t="s">
        <v>953</v>
      </c>
      <c r="B156" s="35" t="s">
        <v>954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7"/>
      <c r="Y156" s="27"/>
      <c r="Z156" s="36" t="s">
        <v>955</v>
      </c>
      <c r="AA156" s="36" t="s">
        <v>956</v>
      </c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</row>
    <row r="157" spans="1:109" ht="64.5">
      <c r="A157" s="34" t="s">
        <v>957</v>
      </c>
      <c r="B157" s="35" t="s">
        <v>958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7"/>
      <c r="Y157" s="27"/>
      <c r="Z157" s="36" t="s">
        <v>959</v>
      </c>
      <c r="AA157" s="36" t="s">
        <v>960</v>
      </c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</row>
    <row r="158" spans="1:109" ht="115.5">
      <c r="A158" s="34" t="s">
        <v>961</v>
      </c>
      <c r="B158" s="35" t="s">
        <v>962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7"/>
      <c r="Y158" s="27"/>
      <c r="Z158" s="36" t="s">
        <v>963</v>
      </c>
      <c r="AA158" s="36" t="s">
        <v>964</v>
      </c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</row>
    <row r="159" spans="1:109" ht="64.5">
      <c r="A159" s="34" t="s">
        <v>965</v>
      </c>
      <c r="B159" s="35" t="s">
        <v>966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7"/>
      <c r="Y159" s="27"/>
      <c r="Z159" s="36" t="s">
        <v>967</v>
      </c>
      <c r="AA159" s="36" t="s">
        <v>968</v>
      </c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</row>
    <row r="160" spans="1:109" ht="51.75">
      <c r="A160" s="34" t="s">
        <v>969</v>
      </c>
      <c r="B160" s="35" t="s">
        <v>970</v>
      </c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7"/>
      <c r="Y160" s="27"/>
      <c r="Z160" s="36" t="s">
        <v>971</v>
      </c>
      <c r="AA160" s="36" t="s">
        <v>972</v>
      </c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</row>
    <row r="161" spans="1:109" ht="39">
      <c r="A161" s="34" t="s">
        <v>973</v>
      </c>
      <c r="B161" s="35" t="s">
        <v>974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7"/>
      <c r="Y161" s="27"/>
      <c r="Z161" s="36" t="s">
        <v>975</v>
      </c>
      <c r="AA161" s="36" t="s">
        <v>976</v>
      </c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</row>
    <row r="162" spans="1:109" ht="39">
      <c r="A162" s="34" t="s">
        <v>977</v>
      </c>
      <c r="B162" s="35" t="s">
        <v>978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7"/>
      <c r="Y162" s="27"/>
      <c r="Z162" s="36" t="s">
        <v>979</v>
      </c>
      <c r="AA162" s="36" t="s">
        <v>980</v>
      </c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</row>
    <row r="163" spans="1:109" ht="64.5">
      <c r="A163" s="34" t="s">
        <v>981</v>
      </c>
      <c r="B163" s="35" t="s">
        <v>982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7"/>
      <c r="Y163" s="27"/>
      <c r="Z163" s="36" t="s">
        <v>983</v>
      </c>
      <c r="AA163" s="36" t="s">
        <v>984</v>
      </c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</row>
    <row r="164" spans="1:109" ht="51.75">
      <c r="A164" s="34" t="s">
        <v>985</v>
      </c>
      <c r="B164" s="35" t="s">
        <v>986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7"/>
      <c r="Y164" s="27"/>
      <c r="Z164" s="36" t="s">
        <v>987</v>
      </c>
      <c r="AA164" s="36" t="s">
        <v>988</v>
      </c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</row>
    <row r="165" spans="1:109" ht="39">
      <c r="A165" s="34" t="s">
        <v>989</v>
      </c>
      <c r="B165" s="35" t="s">
        <v>990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7"/>
      <c r="Y165" s="27"/>
      <c r="Z165" s="36" t="s">
        <v>991</v>
      </c>
      <c r="AA165" s="36" t="s">
        <v>992</v>
      </c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</row>
    <row r="166" spans="1:109" ht="51.75">
      <c r="A166" s="34" t="s">
        <v>993</v>
      </c>
      <c r="B166" s="35" t="s">
        <v>994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7"/>
      <c r="Y166" s="27"/>
      <c r="Z166" s="36" t="s">
        <v>995</v>
      </c>
      <c r="AA166" s="36" t="s">
        <v>996</v>
      </c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</row>
    <row r="167" spans="1:109" ht="64.5">
      <c r="A167" s="34" t="s">
        <v>997</v>
      </c>
      <c r="B167" s="35" t="s">
        <v>998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7"/>
      <c r="Y167" s="27"/>
      <c r="Z167" s="36" t="s">
        <v>999</v>
      </c>
      <c r="AA167" s="36" t="s">
        <v>1000</v>
      </c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</row>
    <row r="168" spans="1:109" ht="90">
      <c r="A168" s="34" t="s">
        <v>1001</v>
      </c>
      <c r="B168" s="35" t="s">
        <v>1002</v>
      </c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7"/>
      <c r="Y168" s="27"/>
      <c r="Z168" s="36" t="s">
        <v>1003</v>
      </c>
      <c r="AA168" s="36" t="s">
        <v>1004</v>
      </c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</row>
    <row r="169" spans="1:109" ht="153.75">
      <c r="A169" s="34" t="s">
        <v>1005</v>
      </c>
      <c r="B169" s="35" t="s">
        <v>1006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7"/>
      <c r="Y169" s="27"/>
      <c r="Z169" s="36" t="s">
        <v>1007</v>
      </c>
      <c r="AA169" s="36" t="s">
        <v>1008</v>
      </c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</row>
    <row r="170" spans="1:109" ht="64.5">
      <c r="A170" s="34" t="s">
        <v>1009</v>
      </c>
      <c r="B170" s="35" t="s">
        <v>1010</v>
      </c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7"/>
      <c r="Y170" s="27"/>
      <c r="Z170" s="36" t="s">
        <v>1011</v>
      </c>
      <c r="AA170" s="36" t="s">
        <v>1012</v>
      </c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</row>
    <row r="171" spans="1:109" ht="51.75">
      <c r="A171" s="34" t="s">
        <v>1013</v>
      </c>
      <c r="B171" s="35" t="s">
        <v>1014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7"/>
      <c r="Y171" s="27"/>
      <c r="Z171" s="36" t="s">
        <v>1015</v>
      </c>
      <c r="AA171" s="36" t="s">
        <v>1016</v>
      </c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</row>
    <row r="172" spans="1:109" ht="39">
      <c r="A172" s="34" t="s">
        <v>1017</v>
      </c>
      <c r="B172" s="35">
        <v>33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7"/>
      <c r="Y172" s="27"/>
      <c r="Z172" s="36" t="s">
        <v>1018</v>
      </c>
      <c r="AA172" s="36" t="s">
        <v>1019</v>
      </c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</row>
    <row r="173" spans="1:109" ht="90">
      <c r="A173" s="34" t="s">
        <v>1020</v>
      </c>
      <c r="B173" s="35" t="s">
        <v>1021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7"/>
      <c r="Y173" s="27"/>
      <c r="Z173" s="36" t="s">
        <v>1022</v>
      </c>
      <c r="AA173" s="36" t="s">
        <v>1023</v>
      </c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</row>
    <row r="174" spans="1:109" ht="51.75">
      <c r="A174" s="34" t="s">
        <v>1024</v>
      </c>
      <c r="B174" s="35" t="s">
        <v>1025</v>
      </c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7"/>
      <c r="Y174" s="27"/>
      <c r="Z174" s="36" t="s">
        <v>1026</v>
      </c>
      <c r="AA174" s="36" t="s">
        <v>1027</v>
      </c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</row>
    <row r="175" spans="1:109" ht="77.25">
      <c r="A175" s="34" t="s">
        <v>1028</v>
      </c>
      <c r="B175" s="35" t="s">
        <v>1029</v>
      </c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7"/>
      <c r="Y175" s="27"/>
      <c r="Z175" s="36" t="s">
        <v>1030</v>
      </c>
      <c r="AA175" s="36" t="s">
        <v>1031</v>
      </c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</row>
    <row r="176" spans="1:109" ht="31.5">
      <c r="A176" s="34" t="s">
        <v>1032</v>
      </c>
      <c r="B176" s="35" t="s">
        <v>1033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7"/>
      <c r="Y176" s="27"/>
      <c r="Z176" s="36" t="s">
        <v>1034</v>
      </c>
      <c r="AA176" s="36" t="s">
        <v>1035</v>
      </c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</row>
    <row r="177" spans="1:109" ht="39">
      <c r="A177" s="34" t="s">
        <v>1036</v>
      </c>
      <c r="B177" s="35">
        <v>35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7"/>
      <c r="Y177" s="27"/>
      <c r="Z177" s="36" t="s">
        <v>1037</v>
      </c>
      <c r="AA177" s="36" t="s">
        <v>1038</v>
      </c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</row>
    <row r="178" spans="1:109" ht="51.75">
      <c r="A178" s="34" t="s">
        <v>1039</v>
      </c>
      <c r="B178" s="35" t="s">
        <v>1040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7"/>
      <c r="Y178" s="27"/>
      <c r="Z178" s="36" t="s">
        <v>1041</v>
      </c>
      <c r="AA178" s="36" t="s">
        <v>1042</v>
      </c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</row>
    <row r="179" spans="1:109" ht="64.5">
      <c r="A179" s="34" t="s">
        <v>1043</v>
      </c>
      <c r="B179" s="35">
        <v>15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7"/>
      <c r="Y179" s="27"/>
      <c r="Z179" s="36" t="s">
        <v>1044</v>
      </c>
      <c r="AA179" s="36" t="s">
        <v>1045</v>
      </c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</row>
    <row r="180" spans="1:109" ht="64.5">
      <c r="A180" s="34" t="s">
        <v>1046</v>
      </c>
      <c r="B180" s="35" t="s">
        <v>1047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7"/>
      <c r="Y180" s="27"/>
      <c r="Z180" s="36" t="s">
        <v>1048</v>
      </c>
      <c r="AA180" s="36" t="s">
        <v>1049</v>
      </c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</row>
    <row r="181" spans="1:109" ht="39">
      <c r="A181" s="34" t="s">
        <v>1050</v>
      </c>
      <c r="B181" s="35">
        <v>10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7"/>
      <c r="Y181" s="27"/>
      <c r="Z181" s="36" t="s">
        <v>1051</v>
      </c>
      <c r="AA181" s="36" t="s">
        <v>1052</v>
      </c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</row>
    <row r="182" spans="1:109" ht="31.5">
      <c r="A182" s="34" t="s">
        <v>1053</v>
      </c>
      <c r="B182" s="35" t="s">
        <v>1054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7"/>
      <c r="Y182" s="27"/>
      <c r="Z182" s="36" t="s">
        <v>1055</v>
      </c>
      <c r="AA182" s="36" t="s">
        <v>1056</v>
      </c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</row>
    <row r="183" spans="1:109" ht="31.5">
      <c r="A183" s="34" t="s">
        <v>1057</v>
      </c>
      <c r="B183" s="35" t="s">
        <v>1058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7"/>
      <c r="Y183" s="27"/>
      <c r="Z183" s="36" t="s">
        <v>1059</v>
      </c>
      <c r="AA183" s="36" t="s">
        <v>1060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</row>
    <row r="184" spans="1:109" ht="47.25">
      <c r="A184" s="34" t="s">
        <v>1061</v>
      </c>
      <c r="B184" s="35" t="s">
        <v>1062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7"/>
      <c r="Y184" s="27"/>
      <c r="Z184" s="36" t="s">
        <v>1063</v>
      </c>
      <c r="AA184" s="36" t="s">
        <v>1064</v>
      </c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</row>
    <row r="185" spans="1:109" ht="39">
      <c r="A185" s="34" t="s">
        <v>1065</v>
      </c>
      <c r="B185" s="35">
        <v>39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7"/>
      <c r="Y185" s="27"/>
      <c r="Z185" s="36" t="s">
        <v>1066</v>
      </c>
      <c r="AA185" s="36" t="s">
        <v>1067</v>
      </c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</row>
    <row r="186" spans="1:109" ht="90">
      <c r="A186" s="34" t="s">
        <v>1068</v>
      </c>
      <c r="B186" s="35" t="s">
        <v>1069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7"/>
      <c r="Y186" s="27"/>
      <c r="Z186" s="36" t="s">
        <v>1070</v>
      </c>
      <c r="AA186" s="36" t="s">
        <v>1071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</row>
    <row r="187" spans="1:109" ht="51.75">
      <c r="A187" s="34" t="s">
        <v>1072</v>
      </c>
      <c r="B187" s="35" t="s">
        <v>1073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7"/>
      <c r="Y187" s="27"/>
      <c r="Z187" s="36" t="s">
        <v>1074</v>
      </c>
      <c r="AA187" s="36" t="s">
        <v>1075</v>
      </c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</row>
    <row r="188" spans="1:109" ht="26.25">
      <c r="A188" s="34" t="s">
        <v>1076</v>
      </c>
      <c r="B188" s="35" t="s">
        <v>1077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7"/>
      <c r="Y188" s="27"/>
      <c r="Z188" s="36" t="s">
        <v>1078</v>
      </c>
      <c r="AA188" s="36" t="s">
        <v>1079</v>
      </c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</row>
    <row r="189" spans="1:109" ht="26.25">
      <c r="A189" s="34" t="s">
        <v>1080</v>
      </c>
      <c r="B189" s="35" t="s">
        <v>1081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7"/>
      <c r="Y189" s="27"/>
      <c r="Z189" s="36" t="s">
        <v>1082</v>
      </c>
      <c r="AA189" s="36" t="s">
        <v>1083</v>
      </c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</row>
    <row r="190" spans="1:109" ht="51.75">
      <c r="A190" s="34" t="s">
        <v>1084</v>
      </c>
      <c r="B190" s="35" t="s">
        <v>1085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7"/>
      <c r="Y190" s="27"/>
      <c r="Z190" s="36" t="s">
        <v>1086</v>
      </c>
      <c r="AA190" s="36" t="s">
        <v>1087</v>
      </c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</row>
    <row r="191" spans="1:109" ht="51.75">
      <c r="A191" s="34" t="s">
        <v>1088</v>
      </c>
      <c r="B191" s="35" t="s">
        <v>1089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7"/>
      <c r="Y191" s="27"/>
      <c r="Z191" s="36" t="s">
        <v>1090</v>
      </c>
      <c r="AA191" s="36" t="s">
        <v>1091</v>
      </c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</row>
    <row r="192" spans="1:109" ht="47.25">
      <c r="A192" s="34" t="s">
        <v>1092</v>
      </c>
      <c r="B192" s="35" t="s">
        <v>1093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7"/>
      <c r="Y192" s="27"/>
      <c r="Z192" s="36" t="s">
        <v>1094</v>
      </c>
      <c r="AA192" s="36" t="s">
        <v>1095</v>
      </c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</row>
    <row r="193" spans="1:109" ht="51.75">
      <c r="A193" s="34" t="s">
        <v>1096</v>
      </c>
      <c r="B193" s="35">
        <v>25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7"/>
      <c r="Y193" s="27"/>
      <c r="Z193" s="36" t="s">
        <v>1097</v>
      </c>
      <c r="AA193" s="36" t="s">
        <v>1098</v>
      </c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</row>
    <row r="194" spans="1:109" ht="64.5">
      <c r="A194" s="34" t="s">
        <v>1099</v>
      </c>
      <c r="B194" s="35" t="s">
        <v>1100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7"/>
      <c r="Y194" s="27"/>
      <c r="Z194" s="36" t="s">
        <v>1101</v>
      </c>
      <c r="AA194" s="36" t="s">
        <v>1102</v>
      </c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</row>
    <row r="195" spans="1:109" ht="39">
      <c r="A195" s="34" t="s">
        <v>1103</v>
      </c>
      <c r="B195" s="35">
        <v>21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7"/>
      <c r="Y195" s="27"/>
      <c r="Z195" s="36" t="s">
        <v>1104</v>
      </c>
      <c r="AA195" s="36" t="s">
        <v>1105</v>
      </c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</row>
    <row r="196" spans="1:109" ht="51.75">
      <c r="A196" s="34" t="s">
        <v>1106</v>
      </c>
      <c r="B196" s="35" t="s">
        <v>1107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7"/>
      <c r="Y196" s="27"/>
      <c r="Z196" s="36" t="s">
        <v>1108</v>
      </c>
      <c r="AA196" s="36" t="s">
        <v>1109</v>
      </c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</row>
    <row r="197" spans="1:109" ht="51.75">
      <c r="A197" s="34" t="s">
        <v>1110</v>
      </c>
      <c r="B197" s="35" t="s">
        <v>1111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7"/>
      <c r="Y197" s="27"/>
      <c r="Z197" s="36" t="s">
        <v>1112</v>
      </c>
      <c r="AA197" s="36" t="s">
        <v>1113</v>
      </c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</row>
    <row r="198" spans="1:109" ht="51.75">
      <c r="A198" s="34" t="s">
        <v>1114</v>
      </c>
      <c r="B198" s="35">
        <v>31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7"/>
      <c r="Y198" s="27"/>
      <c r="Z198" s="36" t="s">
        <v>1115</v>
      </c>
      <c r="AA198" s="36" t="s">
        <v>1116</v>
      </c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</row>
    <row r="199" spans="1:109" ht="39">
      <c r="A199" s="34" t="s">
        <v>1117</v>
      </c>
      <c r="B199" s="35" t="s">
        <v>1118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7"/>
      <c r="Y199" s="27"/>
      <c r="Z199" s="36" t="s">
        <v>1119</v>
      </c>
      <c r="AA199" s="36" t="s">
        <v>1120</v>
      </c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</row>
    <row r="200" spans="1:109" ht="51.75">
      <c r="A200" s="34" t="s">
        <v>1121</v>
      </c>
      <c r="B200" s="35" t="s">
        <v>1122</v>
      </c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7"/>
      <c r="Y200" s="27"/>
      <c r="Z200" s="36" t="s">
        <v>1123</v>
      </c>
      <c r="AA200" s="36" t="s">
        <v>1124</v>
      </c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</row>
    <row r="201" spans="1:109" ht="51.75">
      <c r="A201" s="34" t="s">
        <v>1125</v>
      </c>
      <c r="B201" s="35" t="s">
        <v>1126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7"/>
      <c r="Y201" s="27"/>
      <c r="Z201" s="36" t="s">
        <v>1127</v>
      </c>
      <c r="AA201" s="36" t="s">
        <v>1128</v>
      </c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</row>
    <row r="202" spans="1:109" ht="63">
      <c r="A202" s="34" t="s">
        <v>1129</v>
      </c>
      <c r="B202" s="35" t="s">
        <v>1130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7"/>
      <c r="Y202" s="27"/>
      <c r="Z202" s="36" t="s">
        <v>1131</v>
      </c>
      <c r="AA202" s="36" t="s">
        <v>1132</v>
      </c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</row>
    <row r="203" spans="1:109" ht="64.5">
      <c r="A203" s="34" t="s">
        <v>1133</v>
      </c>
      <c r="B203" s="35" t="s">
        <v>1134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7"/>
      <c r="Y203" s="27"/>
      <c r="Z203" s="36" t="s">
        <v>1135</v>
      </c>
      <c r="AA203" s="36" t="s">
        <v>1136</v>
      </c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</row>
    <row r="204" spans="1:109" ht="39">
      <c r="A204" s="34" t="s">
        <v>1137</v>
      </c>
      <c r="B204" s="35">
        <v>6</v>
      </c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7"/>
      <c r="Y204" s="27"/>
      <c r="Z204" s="36" t="s">
        <v>1138</v>
      </c>
      <c r="AA204" s="36" t="s">
        <v>1139</v>
      </c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</row>
    <row r="205" spans="1:109" ht="51.75">
      <c r="A205" s="34" t="s">
        <v>1140</v>
      </c>
      <c r="B205" s="35" t="s">
        <v>1141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7"/>
      <c r="Y205" s="27"/>
      <c r="Z205" s="36" t="s">
        <v>1142</v>
      </c>
      <c r="AA205" s="36" t="s">
        <v>1143</v>
      </c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</row>
    <row r="206" spans="1:109" ht="26.25">
      <c r="A206" s="34" t="s">
        <v>1144</v>
      </c>
      <c r="B206" s="35" t="s">
        <v>1145</v>
      </c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7"/>
      <c r="Y206" s="27"/>
      <c r="Z206" s="36" t="s">
        <v>1146</v>
      </c>
      <c r="AA206" s="36" t="s">
        <v>1147</v>
      </c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</row>
    <row r="207" spans="1:109" ht="77.25">
      <c r="A207" s="34" t="s">
        <v>1148</v>
      </c>
      <c r="B207" s="35" t="s">
        <v>1149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7"/>
      <c r="Y207" s="27"/>
      <c r="Z207" s="36" t="s">
        <v>1150</v>
      </c>
      <c r="AA207" s="36" t="s">
        <v>1151</v>
      </c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</row>
    <row r="208" spans="1:109" ht="51.75">
      <c r="A208" s="34" t="s">
        <v>1152</v>
      </c>
      <c r="B208" s="35" t="s">
        <v>1153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7"/>
      <c r="Y208" s="27"/>
      <c r="Z208" s="36" t="s">
        <v>1154</v>
      </c>
      <c r="AA208" s="36" t="s">
        <v>1155</v>
      </c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</row>
    <row r="209" spans="1:109" ht="39">
      <c r="A209" s="34" t="s">
        <v>1156</v>
      </c>
      <c r="B209" s="35" t="s">
        <v>1157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7"/>
      <c r="Y209" s="27"/>
      <c r="Z209" s="36" t="s">
        <v>1158</v>
      </c>
      <c r="AA209" s="36" t="s">
        <v>1159</v>
      </c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</row>
    <row r="210" spans="1:109" ht="64.5">
      <c r="A210" s="34" t="s">
        <v>1160</v>
      </c>
      <c r="B210" s="35" t="s">
        <v>1161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7"/>
      <c r="Y210" s="27"/>
      <c r="Z210" s="36" t="s">
        <v>1162</v>
      </c>
      <c r="AA210" s="36" t="s">
        <v>1163</v>
      </c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</row>
    <row r="211" spans="1:109" ht="39">
      <c r="A211" s="34" t="s">
        <v>1164</v>
      </c>
      <c r="B211" s="35" t="s">
        <v>1165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7"/>
      <c r="Y211" s="27"/>
      <c r="Z211" s="36" t="s">
        <v>1166</v>
      </c>
      <c r="AA211" s="36" t="s">
        <v>1167</v>
      </c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</row>
    <row r="212" spans="1:109" ht="51.75">
      <c r="A212" s="34" t="s">
        <v>1168</v>
      </c>
      <c r="B212" s="35" t="s">
        <v>1169</v>
      </c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7"/>
      <c r="Y212" s="27"/>
      <c r="Z212" s="36" t="s">
        <v>1170</v>
      </c>
      <c r="AA212" s="36" t="s">
        <v>1171</v>
      </c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</row>
    <row r="213" spans="1:109" ht="47.25">
      <c r="A213" s="34" t="s">
        <v>1172</v>
      </c>
      <c r="B213" s="35" t="s">
        <v>1173</v>
      </c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7"/>
      <c r="Y213" s="27"/>
      <c r="Z213" s="36" t="s">
        <v>1174</v>
      </c>
      <c r="AA213" s="36" t="s">
        <v>1175</v>
      </c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</row>
    <row r="214" spans="1:109" ht="39">
      <c r="A214" s="34" t="s">
        <v>1176</v>
      </c>
      <c r="B214" s="35" t="s">
        <v>1177</v>
      </c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7"/>
      <c r="Y214" s="27"/>
      <c r="Z214" s="36" t="s">
        <v>1178</v>
      </c>
      <c r="AA214" s="36" t="s">
        <v>1179</v>
      </c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</row>
    <row r="215" spans="1:109" ht="63">
      <c r="A215" s="34" t="s">
        <v>1180</v>
      </c>
      <c r="B215" s="35" t="s">
        <v>1181</v>
      </c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7"/>
      <c r="Y215" s="27"/>
      <c r="Z215" s="36" t="s">
        <v>1182</v>
      </c>
      <c r="AA215" s="36" t="s">
        <v>1183</v>
      </c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</row>
    <row r="216" spans="1:109" ht="31.5">
      <c r="A216" s="34" t="s">
        <v>1184</v>
      </c>
      <c r="B216" s="35" t="s">
        <v>1185</v>
      </c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7"/>
      <c r="Y216" s="27"/>
      <c r="Z216" s="36" t="s">
        <v>1186</v>
      </c>
      <c r="AA216" s="36" t="s">
        <v>1187</v>
      </c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</row>
    <row r="217" spans="1:109" ht="39">
      <c r="A217" s="34" t="s">
        <v>1188</v>
      </c>
      <c r="B217" s="35" t="s">
        <v>1189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7"/>
      <c r="Y217" s="27"/>
      <c r="Z217" s="36" t="s">
        <v>1190</v>
      </c>
      <c r="AA217" s="36" t="s">
        <v>1191</v>
      </c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</row>
    <row r="218" spans="1:109" ht="77.25">
      <c r="A218" s="34" t="s">
        <v>1192</v>
      </c>
      <c r="B218" s="35" t="s">
        <v>1193</v>
      </c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7"/>
      <c r="Y218" s="27"/>
      <c r="Z218" s="36" t="s">
        <v>1194</v>
      </c>
      <c r="AA218" s="36" t="s">
        <v>1195</v>
      </c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</row>
    <row r="219" spans="1:109" ht="51.75">
      <c r="A219" s="34" t="s">
        <v>1196</v>
      </c>
      <c r="B219" s="35" t="s">
        <v>1197</v>
      </c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7"/>
      <c r="Y219" s="27"/>
      <c r="Z219" s="36" t="s">
        <v>1198</v>
      </c>
      <c r="AA219" s="36" t="s">
        <v>1199</v>
      </c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</row>
    <row r="220" spans="1:109" ht="64.5">
      <c r="A220" s="34" t="s">
        <v>1200</v>
      </c>
      <c r="B220" s="35" t="s">
        <v>1201</v>
      </c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7"/>
      <c r="Y220" s="27"/>
      <c r="Z220" s="36" t="s">
        <v>1202</v>
      </c>
      <c r="AA220" s="36" t="s">
        <v>1203</v>
      </c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</row>
    <row r="221" spans="1:109" ht="31.5">
      <c r="A221" s="34" t="s">
        <v>1204</v>
      </c>
      <c r="B221" s="35" t="s">
        <v>1205</v>
      </c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7"/>
      <c r="Y221" s="27"/>
      <c r="Z221" s="36" t="s">
        <v>1206</v>
      </c>
      <c r="AA221" s="36" t="s">
        <v>1207</v>
      </c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</row>
    <row r="222" spans="1:109" ht="39">
      <c r="A222" s="34" t="s">
        <v>1208</v>
      </c>
      <c r="B222" s="35" t="s">
        <v>1209</v>
      </c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7"/>
      <c r="Y222" s="27"/>
      <c r="Z222" s="36" t="s">
        <v>1210</v>
      </c>
      <c r="AA222" s="36" t="s">
        <v>1211</v>
      </c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</row>
    <row r="223" spans="1:109" ht="77.25">
      <c r="A223" s="34" t="s">
        <v>1212</v>
      </c>
      <c r="B223" s="35" t="s">
        <v>183</v>
      </c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7"/>
      <c r="Y223" s="27"/>
      <c r="Z223" s="36" t="s">
        <v>1213</v>
      </c>
      <c r="AA223" s="36" t="s">
        <v>1214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</row>
    <row r="224" spans="1:109" ht="26.25">
      <c r="A224" s="34" t="s">
        <v>1215</v>
      </c>
      <c r="B224" s="35" t="s">
        <v>1216</v>
      </c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7"/>
      <c r="Y224" s="27"/>
      <c r="Z224" s="36" t="s">
        <v>1217</v>
      </c>
      <c r="AA224" s="36" t="s">
        <v>1218</v>
      </c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</row>
    <row r="225" spans="1:109" ht="26.25">
      <c r="A225" s="34" t="s">
        <v>1219</v>
      </c>
      <c r="B225" s="35">
        <v>28</v>
      </c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7"/>
      <c r="Y225" s="27"/>
      <c r="Z225" s="36" t="s">
        <v>1220</v>
      </c>
      <c r="AA225" s="36" t="s">
        <v>1221</v>
      </c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</row>
    <row r="226" spans="1:109" ht="39">
      <c r="A226" s="34" t="s">
        <v>1222</v>
      </c>
      <c r="B226" s="35" t="s">
        <v>1223</v>
      </c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7"/>
      <c r="Y226" s="27"/>
      <c r="Z226" s="36" t="s">
        <v>1224</v>
      </c>
      <c r="AA226" s="36" t="s">
        <v>1225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</row>
    <row r="227" spans="1:109" ht="77.25">
      <c r="A227" s="34" t="s">
        <v>1226</v>
      </c>
      <c r="B227" s="35">
        <v>7</v>
      </c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7"/>
      <c r="Y227" s="27"/>
      <c r="Z227" s="36" t="s">
        <v>1227</v>
      </c>
      <c r="AA227" s="36" t="s">
        <v>1228</v>
      </c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</row>
    <row r="228" spans="1:109" ht="90">
      <c r="A228" s="34" t="s">
        <v>1229</v>
      </c>
      <c r="B228" s="35">
        <v>47</v>
      </c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7"/>
      <c r="Y228" s="27"/>
      <c r="Z228" s="36" t="s">
        <v>1230</v>
      </c>
      <c r="AA228" s="36" t="s">
        <v>1231</v>
      </c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</row>
    <row r="229" spans="1:109" ht="77.25">
      <c r="A229" s="34" t="s">
        <v>1232</v>
      </c>
      <c r="B229" s="35">
        <v>38</v>
      </c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7"/>
      <c r="Y229" s="27"/>
      <c r="Z229" s="36" t="s">
        <v>1233</v>
      </c>
      <c r="AA229" s="36" t="s">
        <v>1234</v>
      </c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</row>
    <row r="230" spans="1:109" ht="77.25">
      <c r="A230" s="34" t="s">
        <v>1235</v>
      </c>
      <c r="B230" s="35" t="s">
        <v>1236</v>
      </c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7"/>
      <c r="Y230" s="27"/>
      <c r="Z230" s="36" t="s">
        <v>1237</v>
      </c>
      <c r="AA230" s="36" t="s">
        <v>1238</v>
      </c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</row>
    <row r="231" spans="1:109" ht="31.5">
      <c r="A231" s="34" t="s">
        <v>1239</v>
      </c>
      <c r="B231" s="35" t="s">
        <v>1240</v>
      </c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7"/>
      <c r="Y231" s="27"/>
      <c r="Z231" s="36" t="s">
        <v>1241</v>
      </c>
      <c r="AA231" s="36" t="s">
        <v>1242</v>
      </c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</row>
    <row r="232" spans="1:109" ht="26.25">
      <c r="A232" s="34" t="s">
        <v>1243</v>
      </c>
      <c r="B232" s="35" t="s">
        <v>1244</v>
      </c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7"/>
      <c r="Y232" s="27"/>
      <c r="Z232" s="36" t="s">
        <v>1245</v>
      </c>
      <c r="AA232" s="36" t="s">
        <v>1246</v>
      </c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</row>
    <row r="233" spans="1:109" ht="26.25">
      <c r="A233" s="34" t="s">
        <v>1247</v>
      </c>
      <c r="B233" s="35" t="s">
        <v>1248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7"/>
      <c r="Y233" s="27"/>
      <c r="Z233" s="36" t="s">
        <v>1249</v>
      </c>
      <c r="AA233" s="36" t="s">
        <v>1250</v>
      </c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</row>
    <row r="234" spans="1:109" ht="64.5">
      <c r="A234" s="34" t="s">
        <v>1251</v>
      </c>
      <c r="B234" s="35" t="s">
        <v>1252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7"/>
      <c r="Y234" s="27"/>
      <c r="Z234" s="36" t="s">
        <v>1253</v>
      </c>
      <c r="AA234" s="36" t="s">
        <v>1254</v>
      </c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</row>
    <row r="235" spans="1:109" ht="39">
      <c r="A235" s="34" t="s">
        <v>1255</v>
      </c>
      <c r="B235" s="35" t="s">
        <v>1256</v>
      </c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7"/>
      <c r="Y235" s="27"/>
      <c r="Z235" s="36" t="s">
        <v>1257</v>
      </c>
      <c r="AA235" s="36" t="s">
        <v>1258</v>
      </c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</row>
    <row r="236" spans="1:109" ht="64.5">
      <c r="A236" s="34" t="s">
        <v>1259</v>
      </c>
      <c r="B236" s="35" t="s">
        <v>1260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7"/>
      <c r="Y236" s="27"/>
      <c r="Z236" s="36" t="s">
        <v>1261</v>
      </c>
      <c r="AA236" s="36" t="s">
        <v>1262</v>
      </c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</row>
    <row r="237" spans="1:109" ht="51.75">
      <c r="A237" s="34" t="s">
        <v>1263</v>
      </c>
      <c r="B237" s="35" t="s">
        <v>1264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7"/>
      <c r="Y237" s="27"/>
      <c r="Z237" s="36" t="s">
        <v>1265</v>
      </c>
      <c r="AA237" s="36" t="s">
        <v>1266</v>
      </c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</row>
    <row r="238" spans="1:109" ht="64.5">
      <c r="A238" s="34" t="s">
        <v>1267</v>
      </c>
      <c r="B238" s="35" t="s">
        <v>1268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7"/>
      <c r="Y238" s="27"/>
      <c r="Z238" s="36" t="s">
        <v>1269</v>
      </c>
      <c r="AA238" s="36" t="s">
        <v>1270</v>
      </c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</row>
    <row r="239" spans="1:109" ht="47.25">
      <c r="A239" s="34" t="s">
        <v>1271</v>
      </c>
      <c r="B239" s="35" t="s">
        <v>1272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7"/>
      <c r="Y239" s="27"/>
      <c r="Z239" s="36" t="s">
        <v>1273</v>
      </c>
      <c r="AA239" s="36" t="s">
        <v>1274</v>
      </c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</row>
    <row r="240" spans="1:109" ht="39">
      <c r="A240" s="34" t="s">
        <v>1275</v>
      </c>
      <c r="B240" s="35" t="s">
        <v>1276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7"/>
      <c r="Y240" s="27"/>
      <c r="Z240" s="36" t="s">
        <v>1277</v>
      </c>
      <c r="AA240" s="36" t="s">
        <v>1278</v>
      </c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</row>
    <row r="241" spans="1:109" ht="47.25">
      <c r="A241" s="34" t="s">
        <v>1279</v>
      </c>
      <c r="B241" s="35" t="s">
        <v>1280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7"/>
      <c r="Y241" s="27"/>
      <c r="Z241" s="36" t="s">
        <v>1281</v>
      </c>
      <c r="AA241" s="36" t="s">
        <v>1282</v>
      </c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</row>
    <row r="242" spans="1:109" ht="39">
      <c r="A242" s="34" t="s">
        <v>1283</v>
      </c>
      <c r="B242" s="35" t="s">
        <v>1284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7"/>
      <c r="Y242" s="27"/>
      <c r="Z242" s="36" t="s">
        <v>1285</v>
      </c>
      <c r="AA242" s="36" t="s">
        <v>1286</v>
      </c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</row>
    <row r="243" spans="1:109" ht="64.5">
      <c r="A243" s="34" t="s">
        <v>1287</v>
      </c>
      <c r="B243" s="35" t="s">
        <v>1288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7"/>
      <c r="Y243" s="27"/>
      <c r="Z243" s="36" t="s">
        <v>1289</v>
      </c>
      <c r="AA243" s="36" t="s">
        <v>1290</v>
      </c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</row>
    <row r="244" spans="1:109" ht="64.5">
      <c r="A244" s="34" t="s">
        <v>1291</v>
      </c>
      <c r="B244" s="35">
        <v>18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7"/>
      <c r="Y244" s="27"/>
      <c r="Z244" s="36" t="s">
        <v>1292</v>
      </c>
      <c r="AA244" s="36" t="s">
        <v>1293</v>
      </c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</row>
    <row r="245" spans="1:109" ht="39">
      <c r="A245" s="34" t="s">
        <v>1294</v>
      </c>
      <c r="B245" s="35">
        <v>16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7"/>
      <c r="Y245" s="27"/>
      <c r="Z245" s="36" t="s">
        <v>1295</v>
      </c>
      <c r="AA245" s="36" t="s">
        <v>1296</v>
      </c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</row>
    <row r="246" spans="1:109" ht="26.25">
      <c r="A246" s="34" t="s">
        <v>1297</v>
      </c>
      <c r="B246" s="35" t="s">
        <v>1298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7"/>
      <c r="Y246" s="27"/>
      <c r="Z246" s="36" t="s">
        <v>1299</v>
      </c>
      <c r="AA246" s="36" t="s">
        <v>1300</v>
      </c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</row>
    <row r="247" spans="1:109" ht="64.5">
      <c r="A247" s="34" t="s">
        <v>1301</v>
      </c>
      <c r="B247" s="35">
        <v>30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7"/>
      <c r="Y247" s="27"/>
      <c r="Z247" s="36" t="s">
        <v>1302</v>
      </c>
      <c r="AA247" s="36" t="s">
        <v>1303</v>
      </c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</row>
    <row r="248" spans="1:109" ht="39">
      <c r="A248" s="34" t="s">
        <v>1304</v>
      </c>
      <c r="B248" s="35">
        <v>27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7"/>
      <c r="Y248" s="27"/>
      <c r="Z248" s="36" t="s">
        <v>1305</v>
      </c>
      <c r="AA248" s="36" t="s">
        <v>1306</v>
      </c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</row>
    <row r="249" spans="1:109" ht="47.25">
      <c r="A249" s="34" t="s">
        <v>1307</v>
      </c>
      <c r="B249" s="35" t="s">
        <v>1308</v>
      </c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7"/>
      <c r="Y249" s="27"/>
      <c r="Z249" s="36" t="s">
        <v>1309</v>
      </c>
      <c r="AA249" s="36" t="s">
        <v>1310</v>
      </c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</row>
    <row r="250" spans="1:109" ht="47.25">
      <c r="A250" s="34" t="s">
        <v>1311</v>
      </c>
      <c r="B250" s="35" t="s">
        <v>1312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7"/>
      <c r="Y250" s="27"/>
      <c r="Z250" s="36" t="s">
        <v>1313</v>
      </c>
      <c r="AA250" s="36" t="s">
        <v>1314</v>
      </c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</row>
    <row r="251" spans="1:109" ht="63">
      <c r="A251" s="34" t="s">
        <v>1315</v>
      </c>
      <c r="B251" s="35" t="s">
        <v>1316</v>
      </c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7"/>
      <c r="Y251" s="27"/>
      <c r="Z251" s="36" t="s">
        <v>1317</v>
      </c>
      <c r="AA251" s="36" t="s">
        <v>1318</v>
      </c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</row>
    <row r="252" spans="1:109" ht="51.75">
      <c r="A252" s="34" t="s">
        <v>1319</v>
      </c>
      <c r="B252" s="35" t="s">
        <v>1320</v>
      </c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7"/>
      <c r="Y252" s="27"/>
      <c r="Z252" s="36" t="s">
        <v>1321</v>
      </c>
      <c r="AA252" s="36" t="s">
        <v>1322</v>
      </c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</row>
    <row r="253" spans="1:109" ht="39">
      <c r="A253" s="34" t="s">
        <v>1323</v>
      </c>
      <c r="B253" s="35" t="s">
        <v>1324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7"/>
      <c r="Y253" s="27"/>
      <c r="Z253" s="36" t="s">
        <v>1325</v>
      </c>
      <c r="AA253" s="36" t="s">
        <v>1326</v>
      </c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</row>
    <row r="254" spans="1:109" ht="51.75">
      <c r="A254" s="34" t="s">
        <v>1327</v>
      </c>
      <c r="B254" s="35" t="s">
        <v>1328</v>
      </c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7"/>
      <c r="Y254" s="27"/>
      <c r="Z254" s="36" t="s">
        <v>1329</v>
      </c>
      <c r="AA254" s="36" t="s">
        <v>1330</v>
      </c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</row>
    <row r="255" spans="1:109" ht="31.5">
      <c r="A255" s="34" t="s">
        <v>1331</v>
      </c>
      <c r="B255" s="35" t="s">
        <v>1332</v>
      </c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7"/>
      <c r="Y255" s="27"/>
      <c r="Z255" s="36" t="s">
        <v>1333</v>
      </c>
      <c r="AA255" s="36" t="s">
        <v>1334</v>
      </c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</row>
    <row r="256" spans="1:109" ht="64.5">
      <c r="A256" s="34" t="s">
        <v>1335</v>
      </c>
      <c r="B256" s="35" t="s">
        <v>1336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7"/>
      <c r="Y256" s="27"/>
      <c r="Z256" s="36" t="s">
        <v>1337</v>
      </c>
      <c r="AA256" s="36" t="s">
        <v>1338</v>
      </c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</row>
    <row r="257" spans="1:109" ht="128.25">
      <c r="A257" s="34" t="s">
        <v>1339</v>
      </c>
      <c r="B257" s="35" t="s">
        <v>1340</v>
      </c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7"/>
      <c r="Y257" s="27"/>
      <c r="Z257" s="36" t="s">
        <v>1341</v>
      </c>
      <c r="AA257" s="36" t="s">
        <v>1342</v>
      </c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</row>
    <row r="258" spans="1:109" ht="47.25">
      <c r="A258" s="34" t="s">
        <v>1343</v>
      </c>
      <c r="B258" s="35" t="s">
        <v>1344</v>
      </c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7"/>
      <c r="Y258" s="27"/>
      <c r="Z258" s="36" t="s">
        <v>1345</v>
      </c>
      <c r="AA258" s="36" t="s">
        <v>1346</v>
      </c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</row>
    <row r="259" spans="1:109" ht="39">
      <c r="A259" s="34" t="s">
        <v>1347</v>
      </c>
      <c r="B259" s="35" t="s">
        <v>1348</v>
      </c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7"/>
      <c r="Y259" s="27"/>
      <c r="Z259" s="36" t="s">
        <v>1349</v>
      </c>
      <c r="AA259" s="36" t="s">
        <v>1350</v>
      </c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</row>
    <row r="260" spans="1:109" ht="77.25">
      <c r="A260" s="34" t="s">
        <v>1351</v>
      </c>
      <c r="B260" s="35" t="s">
        <v>1352</v>
      </c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7"/>
      <c r="Y260" s="27"/>
      <c r="Z260" s="36" t="s">
        <v>1353</v>
      </c>
      <c r="AA260" s="36" t="s">
        <v>1354</v>
      </c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</row>
    <row r="261" spans="1:109" ht="63">
      <c r="A261" s="39" t="s">
        <v>1355</v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7"/>
      <c r="Y261" s="27"/>
      <c r="Z261" s="36" t="s">
        <v>1356</v>
      </c>
      <c r="AA261" s="36" t="s">
        <v>1357</v>
      </c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</row>
    <row r="262" spans="1:109" ht="25.5">
      <c r="A262" s="27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7"/>
      <c r="Y262" s="27"/>
      <c r="Z262" s="36" t="s">
        <v>1358</v>
      </c>
      <c r="AA262" s="36" t="s">
        <v>1359</v>
      </c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</row>
    <row r="263" spans="1:109" ht="51">
      <c r="A263" s="27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7"/>
      <c r="Y263" s="27"/>
      <c r="Z263" s="36" t="s">
        <v>1360</v>
      </c>
      <c r="AA263" s="36" t="s">
        <v>1361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</row>
    <row r="264" spans="1:109" ht="63.75">
      <c r="A264" s="27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7"/>
      <c r="Y264" s="27"/>
      <c r="Z264" s="36" t="s">
        <v>1362</v>
      </c>
      <c r="AA264" s="36" t="s">
        <v>1363</v>
      </c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</row>
    <row r="265" spans="1:109" ht="38.25">
      <c r="A265" s="27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7"/>
      <c r="Y265" s="27"/>
      <c r="Z265" s="36" t="s">
        <v>1364</v>
      </c>
      <c r="AA265" s="36" t="s">
        <v>1365</v>
      </c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</row>
    <row r="266" spans="1:109" ht="63.75">
      <c r="A266" s="27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7"/>
      <c r="Y266" s="27"/>
      <c r="Z266" s="36" t="s">
        <v>1366</v>
      </c>
      <c r="AA266" s="36" t="s">
        <v>1367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</row>
    <row r="267" spans="1:109" ht="114.75">
      <c r="A267" s="27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7"/>
      <c r="Y267" s="27"/>
      <c r="Z267" s="36" t="s">
        <v>1368</v>
      </c>
      <c r="AA267" s="36" t="s">
        <v>1369</v>
      </c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</row>
    <row r="268" spans="1:109" ht="114.75">
      <c r="A268" s="27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7"/>
      <c r="Y268" s="27"/>
      <c r="Z268" s="36" t="s">
        <v>1370</v>
      </c>
      <c r="AA268" s="36" t="s">
        <v>1371</v>
      </c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</row>
    <row r="269" spans="1:109" ht="76.5">
      <c r="A269" s="27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7"/>
      <c r="Y269" s="27"/>
      <c r="Z269" s="36" t="s">
        <v>1372</v>
      </c>
      <c r="AA269" s="36" t="s">
        <v>1373</v>
      </c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</row>
    <row r="270" spans="1:109" ht="89.25">
      <c r="A270" s="27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7"/>
      <c r="Y270" s="27"/>
      <c r="Z270" s="36" t="s">
        <v>1374</v>
      </c>
      <c r="AA270" s="36" t="s">
        <v>1375</v>
      </c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</row>
    <row r="271" spans="1:109" ht="51">
      <c r="A271" s="27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7"/>
      <c r="Y271" s="27"/>
      <c r="Z271" s="36" t="s">
        <v>1376</v>
      </c>
      <c r="AA271" s="36" t="s">
        <v>1377</v>
      </c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</row>
    <row r="272" spans="1:109" ht="51">
      <c r="A272" s="27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7"/>
      <c r="Y272" s="27"/>
      <c r="Z272" s="36" t="s">
        <v>1378</v>
      </c>
      <c r="AA272" s="36" t="s">
        <v>1379</v>
      </c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</row>
    <row r="273" spans="1:109" ht="51">
      <c r="A273" s="27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7"/>
      <c r="Y273" s="27"/>
      <c r="Z273" s="36" t="s">
        <v>1380</v>
      </c>
      <c r="AA273" s="36" t="s">
        <v>1381</v>
      </c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</row>
    <row r="274" spans="1:109" ht="38.25">
      <c r="A274" s="27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7"/>
      <c r="Y274" s="27"/>
      <c r="Z274" s="36" t="s">
        <v>1382</v>
      </c>
      <c r="AA274" s="36" t="s">
        <v>1383</v>
      </c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</row>
    <row r="275" spans="1:109" ht="38.25">
      <c r="A275" s="27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7"/>
      <c r="Y275" s="27"/>
      <c r="Z275" s="36" t="s">
        <v>1384</v>
      </c>
      <c r="AA275" s="36" t="s">
        <v>1385</v>
      </c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</row>
    <row r="276" spans="1:109" ht="63.75">
      <c r="A276" s="27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7"/>
      <c r="Y276" s="27"/>
      <c r="Z276" s="36" t="s">
        <v>1386</v>
      </c>
      <c r="AA276" s="36" t="s">
        <v>1387</v>
      </c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</row>
    <row r="277" spans="1:109" ht="76.5">
      <c r="A277" s="27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7"/>
      <c r="Y277" s="27"/>
      <c r="Z277" s="36" t="s">
        <v>1388</v>
      </c>
      <c r="AA277" s="36" t="s">
        <v>1389</v>
      </c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</row>
    <row r="278" spans="1:109" ht="89.25">
      <c r="A278" s="27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7"/>
      <c r="Y278" s="27"/>
      <c r="Z278" s="36" t="s">
        <v>1390</v>
      </c>
      <c r="AA278" s="36" t="s">
        <v>1391</v>
      </c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</row>
    <row r="279" spans="1:109" ht="51">
      <c r="A279" s="27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7"/>
      <c r="Y279" s="27"/>
      <c r="Z279" s="36" t="s">
        <v>1392</v>
      </c>
      <c r="AA279" s="36" t="s">
        <v>1393</v>
      </c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</row>
    <row r="280" spans="1:109" ht="51">
      <c r="A280" s="27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7"/>
      <c r="Y280" s="27"/>
      <c r="Z280" s="36" t="s">
        <v>1394</v>
      </c>
      <c r="AA280" s="36" t="s">
        <v>1395</v>
      </c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</row>
    <row r="281" spans="1:109" ht="51">
      <c r="A281" s="27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7"/>
      <c r="Y281" s="27"/>
      <c r="Z281" s="36" t="s">
        <v>1396</v>
      </c>
      <c r="AA281" s="36" t="s">
        <v>1397</v>
      </c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</row>
    <row r="282" spans="1:109" ht="51">
      <c r="A282" s="27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7"/>
      <c r="Y282" s="27"/>
      <c r="Z282" s="36" t="s">
        <v>1398</v>
      </c>
      <c r="AA282" s="36" t="s">
        <v>1399</v>
      </c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</row>
    <row r="283" spans="1:109" ht="51">
      <c r="A283" s="27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7"/>
      <c r="Y283" s="27"/>
      <c r="Z283" s="36" t="s">
        <v>1400</v>
      </c>
      <c r="AA283" s="36" t="s">
        <v>1401</v>
      </c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</row>
    <row r="284" spans="1:109" ht="51">
      <c r="A284" s="27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7"/>
      <c r="Y284" s="27"/>
      <c r="Z284" s="36" t="s">
        <v>1402</v>
      </c>
      <c r="AA284" s="36" t="s">
        <v>1403</v>
      </c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</row>
    <row r="285" spans="1:109" ht="51">
      <c r="A285" s="27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7"/>
      <c r="Y285" s="27"/>
      <c r="Z285" s="36" t="s">
        <v>1404</v>
      </c>
      <c r="AA285" s="36" t="s">
        <v>1405</v>
      </c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</row>
    <row r="286" spans="1:109" ht="38.25">
      <c r="A286" s="27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7"/>
      <c r="Y286" s="27"/>
      <c r="Z286" s="36" t="s">
        <v>1406</v>
      </c>
      <c r="AA286" s="36" t="s">
        <v>1407</v>
      </c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</row>
    <row r="287" spans="1:109" ht="38.25">
      <c r="A287" s="27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7"/>
      <c r="Y287" s="27"/>
      <c r="Z287" s="36" t="s">
        <v>1408</v>
      </c>
      <c r="AA287" s="36" t="s">
        <v>1409</v>
      </c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</row>
    <row r="288" spans="1:109" ht="63.75">
      <c r="A288" s="27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7"/>
      <c r="Y288" s="27"/>
      <c r="Z288" s="36" t="s">
        <v>1410</v>
      </c>
      <c r="AA288" s="36" t="s">
        <v>1411</v>
      </c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</row>
    <row r="289" spans="1:109">
      <c r="A289" s="27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7"/>
      <c r="Y289" s="27"/>
      <c r="Z289" s="36" t="s">
        <v>1412</v>
      </c>
      <c r="AA289" s="36" t="s">
        <v>1413</v>
      </c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</row>
    <row r="290" spans="1:109" ht="25.5">
      <c r="A290" s="27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7"/>
      <c r="Y290" s="27"/>
      <c r="Z290" s="36" t="s">
        <v>1414</v>
      </c>
      <c r="AA290" s="36" t="s">
        <v>1415</v>
      </c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</row>
    <row r="291" spans="1:109" ht="25.5">
      <c r="A291" s="27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7"/>
      <c r="Y291" s="27"/>
      <c r="Z291" s="36" t="s">
        <v>1416</v>
      </c>
      <c r="AA291" s="36" t="s">
        <v>1417</v>
      </c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</row>
    <row r="292" spans="1:109" ht="38.25">
      <c r="A292" s="27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7"/>
      <c r="Y292" s="27"/>
      <c r="Z292" s="36" t="s">
        <v>1418</v>
      </c>
      <c r="AA292" s="36" t="s">
        <v>1419</v>
      </c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</row>
    <row r="293" spans="1:109" ht="25.5">
      <c r="A293" s="27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7"/>
      <c r="Y293" s="27"/>
      <c r="Z293" s="36" t="s">
        <v>1420</v>
      </c>
      <c r="AA293" s="36" t="s">
        <v>1421</v>
      </c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</row>
    <row r="294" spans="1:109">
      <c r="A294" s="27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7"/>
      <c r="Y294" s="27"/>
      <c r="Z294" s="36" t="s">
        <v>1422</v>
      </c>
      <c r="AA294" s="36" t="s">
        <v>1423</v>
      </c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</row>
    <row r="295" spans="1:109" ht="38.25">
      <c r="A295" s="27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7"/>
      <c r="Y295" s="27"/>
      <c r="Z295" s="36" t="s">
        <v>1424</v>
      </c>
      <c r="AA295" s="36" t="s">
        <v>1425</v>
      </c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</row>
    <row r="296" spans="1:109">
      <c r="A296" s="27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7"/>
      <c r="Y296" s="27"/>
      <c r="Z296" s="36" t="s">
        <v>1426</v>
      </c>
      <c r="AA296" s="36" t="s">
        <v>1427</v>
      </c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</row>
    <row r="297" spans="1:109">
      <c r="A297" s="27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7"/>
      <c r="Y297" s="27"/>
      <c r="Z297" s="36" t="s">
        <v>1428</v>
      </c>
      <c r="AA297" s="36" t="s">
        <v>1429</v>
      </c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</row>
    <row r="298" spans="1:109" ht="76.5">
      <c r="A298" s="27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7"/>
      <c r="Y298" s="27"/>
      <c r="Z298" s="36" t="s">
        <v>1430</v>
      </c>
      <c r="AA298" s="36" t="s">
        <v>1431</v>
      </c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</row>
    <row r="299" spans="1:109" ht="51">
      <c r="A299" s="27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7"/>
      <c r="Y299" s="27"/>
      <c r="Z299" s="36" t="s">
        <v>1432</v>
      </c>
      <c r="AA299" s="36" t="s">
        <v>1433</v>
      </c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</row>
    <row r="300" spans="1:109" ht="76.5">
      <c r="A300" s="27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7"/>
      <c r="Y300" s="27"/>
      <c r="Z300" s="36" t="s">
        <v>1434</v>
      </c>
      <c r="AA300" s="36" t="s">
        <v>1435</v>
      </c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</row>
    <row r="301" spans="1:109">
      <c r="A301" s="27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7"/>
      <c r="Y301" s="27"/>
      <c r="Z301" s="36" t="s">
        <v>1436</v>
      </c>
      <c r="AA301" s="36" t="s">
        <v>1437</v>
      </c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</row>
    <row r="302" spans="1:109" ht="51">
      <c r="A302" s="27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7"/>
      <c r="Y302" s="27"/>
      <c r="Z302" s="36" t="s">
        <v>1438</v>
      </c>
      <c r="AA302" s="36" t="s">
        <v>1439</v>
      </c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</row>
    <row r="303" spans="1:109" ht="127.5">
      <c r="A303" s="27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7"/>
      <c r="Y303" s="27"/>
      <c r="Z303" s="36" t="s">
        <v>1440</v>
      </c>
      <c r="AA303" s="36" t="s">
        <v>1441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</row>
    <row r="304" spans="1:109" ht="38.25">
      <c r="A304" s="27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7"/>
      <c r="Y304" s="27"/>
      <c r="Z304" s="36" t="s">
        <v>1442</v>
      </c>
      <c r="AA304" s="36" t="s">
        <v>1443</v>
      </c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</row>
    <row r="305" spans="1:109" ht="51">
      <c r="A305" s="27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7"/>
      <c r="Y305" s="27"/>
      <c r="Z305" s="36" t="s">
        <v>1444</v>
      </c>
      <c r="AA305" s="36" t="s">
        <v>1445</v>
      </c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</row>
    <row r="306" spans="1:109" ht="51">
      <c r="A306" s="27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7"/>
      <c r="Y306" s="27"/>
      <c r="Z306" s="36" t="s">
        <v>1446</v>
      </c>
      <c r="AA306" s="36" t="s">
        <v>1447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</row>
    <row r="307" spans="1:109" ht="76.5">
      <c r="A307" s="27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7"/>
      <c r="Y307" s="27"/>
      <c r="Z307" s="36" t="s">
        <v>1448</v>
      </c>
      <c r="AA307" s="36" t="s">
        <v>1449</v>
      </c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</row>
    <row r="308" spans="1:109">
      <c r="A308" s="27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7"/>
      <c r="Y308" s="27"/>
      <c r="Z308" s="36" t="s">
        <v>1450</v>
      </c>
      <c r="AA308" s="36" t="s">
        <v>1451</v>
      </c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</row>
    <row r="309" spans="1:109" ht="38.25">
      <c r="A309" s="27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7"/>
      <c r="Y309" s="27"/>
      <c r="Z309" s="36" t="s">
        <v>1452</v>
      </c>
      <c r="AA309" s="36" t="s">
        <v>1453</v>
      </c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</row>
    <row r="310" spans="1:109">
      <c r="A310" s="27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7"/>
      <c r="Y310" s="27"/>
      <c r="Z310" s="36" t="s">
        <v>1454</v>
      </c>
      <c r="AA310" s="36" t="s">
        <v>1455</v>
      </c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</row>
    <row r="311" spans="1:109" ht="25.5">
      <c r="A311" s="27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7"/>
      <c r="Y311" s="27"/>
      <c r="Z311" s="36" t="s">
        <v>1456</v>
      </c>
      <c r="AA311" s="36" t="s">
        <v>1457</v>
      </c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</row>
    <row r="312" spans="1:109">
      <c r="A312" s="27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7"/>
      <c r="Y312" s="27"/>
      <c r="Z312" s="36" t="s">
        <v>1458</v>
      </c>
      <c r="AA312" s="36" t="s">
        <v>1459</v>
      </c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</row>
    <row r="313" spans="1:109">
      <c r="A313" s="27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7"/>
      <c r="Y313" s="27"/>
      <c r="Z313" s="36" t="s">
        <v>1460</v>
      </c>
      <c r="AA313" s="36" t="s">
        <v>1461</v>
      </c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</row>
    <row r="314" spans="1:109" ht="38.25">
      <c r="A314" s="27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7"/>
      <c r="Y314" s="27"/>
      <c r="Z314" s="36" t="s">
        <v>1462</v>
      </c>
      <c r="AA314" s="36" t="s">
        <v>1463</v>
      </c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</row>
    <row r="315" spans="1:109" ht="25.5">
      <c r="A315" s="27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7"/>
      <c r="Y315" s="27"/>
      <c r="Z315" s="36" t="s">
        <v>1464</v>
      </c>
      <c r="AA315" s="36" t="s">
        <v>1465</v>
      </c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</row>
    <row r="316" spans="1:109" ht="38.25">
      <c r="A316" s="27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7"/>
      <c r="Y316" s="27"/>
      <c r="Z316" s="36" t="s">
        <v>1466</v>
      </c>
      <c r="AA316" s="36" t="s">
        <v>1467</v>
      </c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</row>
    <row r="317" spans="1:109">
      <c r="A317" s="27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7"/>
      <c r="Y317" s="27"/>
      <c r="Z317" s="36" t="s">
        <v>1468</v>
      </c>
      <c r="AA317" s="36" t="s">
        <v>1469</v>
      </c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</row>
    <row r="318" spans="1:109" ht="51">
      <c r="A318" s="27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7"/>
      <c r="Y318" s="27"/>
      <c r="Z318" s="36" t="s">
        <v>1470</v>
      </c>
      <c r="AA318" s="36" t="s">
        <v>1471</v>
      </c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</row>
    <row r="319" spans="1:109" ht="51">
      <c r="A319" s="27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7"/>
      <c r="Y319" s="27"/>
      <c r="Z319" s="36" t="s">
        <v>1472</v>
      </c>
      <c r="AA319" s="36" t="s">
        <v>1473</v>
      </c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</row>
    <row r="320" spans="1:109">
      <c r="A320" s="27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7"/>
      <c r="Y320" s="27"/>
      <c r="Z320" s="36" t="s">
        <v>1474</v>
      </c>
      <c r="AA320" s="36" t="s">
        <v>1475</v>
      </c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</row>
    <row r="321" spans="1:109" ht="25.5">
      <c r="A321" s="27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7"/>
      <c r="Y321" s="27"/>
      <c r="Z321" s="36" t="s">
        <v>1476</v>
      </c>
      <c r="AA321" s="36" t="s">
        <v>1477</v>
      </c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</row>
    <row r="322" spans="1:109" ht="25.5">
      <c r="A322" s="27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7"/>
      <c r="Y322" s="27"/>
      <c r="Z322" s="36" t="s">
        <v>1478</v>
      </c>
      <c r="AA322" s="36" t="s">
        <v>1479</v>
      </c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</row>
    <row r="323" spans="1:109" ht="38.25">
      <c r="A323" s="27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7"/>
      <c r="Y323" s="27"/>
      <c r="Z323" s="36" t="s">
        <v>1480</v>
      </c>
      <c r="AA323" s="36" t="s">
        <v>1481</v>
      </c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</row>
    <row r="324" spans="1:109" ht="51">
      <c r="A324" s="27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7"/>
      <c r="Y324" s="27"/>
      <c r="Z324" s="36" t="s">
        <v>1482</v>
      </c>
      <c r="AA324" s="36" t="s">
        <v>1483</v>
      </c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</row>
    <row r="325" spans="1:109" ht="76.5">
      <c r="A325" s="27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7"/>
      <c r="Y325" s="27"/>
      <c r="Z325" s="36" t="s">
        <v>1484</v>
      </c>
      <c r="AA325" s="36" t="s">
        <v>1485</v>
      </c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</row>
    <row r="326" spans="1:109" ht="25.5">
      <c r="A326" s="27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7"/>
      <c r="Y326" s="27"/>
      <c r="Z326" s="36" t="s">
        <v>1486</v>
      </c>
      <c r="AA326" s="36" t="s">
        <v>1487</v>
      </c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</row>
    <row r="327" spans="1:109" ht="76.5">
      <c r="A327" s="27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7"/>
      <c r="Y327" s="27"/>
      <c r="Z327" s="36" t="s">
        <v>1488</v>
      </c>
      <c r="AA327" s="36" t="s">
        <v>1489</v>
      </c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</row>
    <row r="328" spans="1:109" ht="76.5">
      <c r="A328" s="27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7"/>
      <c r="Y328" s="27"/>
      <c r="Z328" s="36" t="s">
        <v>1490</v>
      </c>
      <c r="AA328" s="36" t="s">
        <v>1491</v>
      </c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</row>
    <row r="329" spans="1:109" ht="51">
      <c r="A329" s="27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7"/>
      <c r="Y329" s="27"/>
      <c r="Z329" s="36" t="s">
        <v>1492</v>
      </c>
      <c r="AA329" s="36" t="s">
        <v>1493</v>
      </c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</row>
    <row r="330" spans="1:109" ht="38.25">
      <c r="A330" s="27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7"/>
      <c r="Y330" s="27"/>
      <c r="Z330" s="36" t="s">
        <v>1494</v>
      </c>
      <c r="AA330" s="36" t="s">
        <v>1495</v>
      </c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</row>
    <row r="331" spans="1:109" ht="51">
      <c r="A331" s="27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7"/>
      <c r="Y331" s="27"/>
      <c r="Z331" s="36" t="s">
        <v>1496</v>
      </c>
      <c r="AA331" s="36" t="s">
        <v>1497</v>
      </c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</row>
    <row r="332" spans="1:109" ht="38.25">
      <c r="A332" s="27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7"/>
      <c r="Y332" s="27"/>
      <c r="Z332" s="36" t="s">
        <v>1498</v>
      </c>
      <c r="AA332" s="36" t="s">
        <v>1499</v>
      </c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</row>
    <row r="333" spans="1:109">
      <c r="A333" s="27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7"/>
      <c r="Y333" s="27"/>
      <c r="Z333" s="36" t="s">
        <v>1500</v>
      </c>
      <c r="AA333" s="36" t="s">
        <v>1501</v>
      </c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</row>
    <row r="334" spans="1:109">
      <c r="A334" s="27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7"/>
      <c r="Y334" s="27"/>
      <c r="Z334" s="36" t="s">
        <v>1502</v>
      </c>
      <c r="AA334" s="36" t="s">
        <v>1503</v>
      </c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</row>
    <row r="335" spans="1:109" ht="25.5">
      <c r="A335" s="27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7"/>
      <c r="Y335" s="27"/>
      <c r="Z335" s="36" t="s">
        <v>1504</v>
      </c>
      <c r="AA335" s="36" t="s">
        <v>1505</v>
      </c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</row>
    <row r="336" spans="1:109" ht="25.5">
      <c r="A336" s="27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7"/>
      <c r="Y336" s="27"/>
      <c r="Z336" s="36" t="s">
        <v>1506</v>
      </c>
      <c r="AA336" s="36" t="s">
        <v>1507</v>
      </c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</row>
    <row r="337" spans="1:109" ht="25.5">
      <c r="A337" s="27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7"/>
      <c r="Y337" s="27"/>
      <c r="Z337" s="36" t="s">
        <v>1508</v>
      </c>
      <c r="AA337" s="36" t="s">
        <v>1509</v>
      </c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</row>
    <row r="338" spans="1:109" ht="38.25">
      <c r="A338" s="27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7"/>
      <c r="Y338" s="27"/>
      <c r="Z338" s="36" t="s">
        <v>1510</v>
      </c>
      <c r="AA338" s="36" t="s">
        <v>1511</v>
      </c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</row>
    <row r="339" spans="1:109" ht="38.25">
      <c r="A339" s="27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7"/>
      <c r="Y339" s="27"/>
      <c r="Z339" s="36" t="s">
        <v>1512</v>
      </c>
      <c r="AA339" s="36" t="s">
        <v>1513</v>
      </c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</row>
    <row r="340" spans="1:109" ht="38.25">
      <c r="A340" s="27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7"/>
      <c r="Y340" s="27"/>
      <c r="Z340" s="36" t="s">
        <v>1514</v>
      </c>
      <c r="AA340" s="36" t="s">
        <v>1515</v>
      </c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</row>
    <row r="341" spans="1:109">
      <c r="A341" s="27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7"/>
      <c r="Y341" s="27"/>
      <c r="Z341" s="36" t="s">
        <v>1516</v>
      </c>
      <c r="AA341" s="36" t="s">
        <v>1517</v>
      </c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</row>
    <row r="342" spans="1:109" ht="63.75">
      <c r="A342" s="27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7"/>
      <c r="Y342" s="27"/>
      <c r="Z342" s="36" t="s">
        <v>1518</v>
      </c>
      <c r="AA342" s="36" t="s">
        <v>1519</v>
      </c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</row>
    <row r="343" spans="1:109" ht="25.5">
      <c r="A343" s="27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7"/>
      <c r="Y343" s="27"/>
      <c r="Z343" s="36" t="s">
        <v>1520</v>
      </c>
      <c r="AA343" s="36" t="s">
        <v>1521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</row>
    <row r="344" spans="1:109" ht="89.25">
      <c r="A344" s="27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7"/>
      <c r="Y344" s="27"/>
      <c r="Z344" s="36" t="s">
        <v>1522</v>
      </c>
      <c r="AA344" s="36" t="s">
        <v>1523</v>
      </c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</row>
    <row r="345" spans="1:109" ht="38.25">
      <c r="A345" s="27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7"/>
      <c r="Y345" s="27"/>
      <c r="Z345" s="36" t="s">
        <v>1524</v>
      </c>
      <c r="AA345" s="36" t="s">
        <v>1525</v>
      </c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</row>
    <row r="346" spans="1:109" ht="51">
      <c r="A346" s="27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7"/>
      <c r="Y346" s="27"/>
      <c r="Z346" s="36" t="s">
        <v>1526</v>
      </c>
      <c r="AA346" s="36" t="s">
        <v>1527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</row>
    <row r="347" spans="1:109" ht="25.5">
      <c r="A347" s="27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7"/>
      <c r="Y347" s="27"/>
      <c r="Z347" s="36" t="s">
        <v>1528</v>
      </c>
      <c r="AA347" s="36" t="s">
        <v>1529</v>
      </c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</row>
    <row r="348" spans="1:109" ht="51">
      <c r="A348" s="27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7"/>
      <c r="Y348" s="27"/>
      <c r="Z348" s="36" t="s">
        <v>1530</v>
      </c>
      <c r="AA348" s="36" t="s">
        <v>1531</v>
      </c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</row>
    <row r="349" spans="1:109" ht="51">
      <c r="A349" s="27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7"/>
      <c r="Y349" s="27"/>
      <c r="Z349" s="36" t="s">
        <v>1532</v>
      </c>
      <c r="AA349" s="36" t="s">
        <v>1533</v>
      </c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</row>
    <row r="350" spans="1:109" ht="63.75">
      <c r="A350" s="27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7"/>
      <c r="Y350" s="27"/>
      <c r="Z350" s="36" t="s">
        <v>1534</v>
      </c>
      <c r="AA350" s="36" t="s">
        <v>1535</v>
      </c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</row>
    <row r="351" spans="1:109" ht="38.25">
      <c r="A351" s="27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7"/>
      <c r="Y351" s="27"/>
      <c r="Z351" s="36" t="s">
        <v>1536</v>
      </c>
      <c r="AA351" s="36" t="s">
        <v>1537</v>
      </c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</row>
    <row r="352" spans="1:109" ht="38.25">
      <c r="A352" s="27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7"/>
      <c r="Y352" s="27"/>
      <c r="Z352" s="36" t="s">
        <v>1538</v>
      </c>
      <c r="AA352" s="36" t="s">
        <v>1539</v>
      </c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</row>
    <row r="353" spans="1:109" ht="51">
      <c r="A353" s="27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7"/>
      <c r="Y353" s="27"/>
      <c r="Z353" s="36" t="s">
        <v>1540</v>
      </c>
      <c r="AA353" s="36" t="s">
        <v>1541</v>
      </c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</row>
    <row r="354" spans="1:109" ht="38.25">
      <c r="A354" s="27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7"/>
      <c r="Y354" s="27"/>
      <c r="Z354" s="36" t="s">
        <v>1542</v>
      </c>
      <c r="AA354" s="36" t="s">
        <v>1543</v>
      </c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</row>
    <row r="355" spans="1:109" ht="63.75">
      <c r="A355" s="27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7"/>
      <c r="Y355" s="27"/>
      <c r="Z355" s="36" t="s">
        <v>1544</v>
      </c>
      <c r="AA355" s="36" t="s">
        <v>1545</v>
      </c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</row>
    <row r="356" spans="1:109" ht="89.25">
      <c r="A356" s="27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7"/>
      <c r="Y356" s="27"/>
      <c r="Z356" s="36" t="s">
        <v>1546</v>
      </c>
      <c r="AA356" s="36" t="s">
        <v>1547</v>
      </c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</row>
    <row r="357" spans="1:109" ht="102">
      <c r="A357" s="27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7"/>
      <c r="Y357" s="27"/>
      <c r="Z357" s="36" t="s">
        <v>1548</v>
      </c>
      <c r="AA357" s="36" t="s">
        <v>1549</v>
      </c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</row>
    <row r="358" spans="1:109">
      <c r="A358" s="27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7"/>
      <c r="Y358" s="27"/>
      <c r="Z358" s="36" t="s">
        <v>1550</v>
      </c>
      <c r="AA358" s="36" t="s">
        <v>1551</v>
      </c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</row>
    <row r="359" spans="1:109" ht="38.25">
      <c r="A359" s="27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7"/>
      <c r="Y359" s="27"/>
      <c r="Z359" s="36" t="s">
        <v>1552</v>
      </c>
      <c r="AA359" s="36" t="s">
        <v>1553</v>
      </c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</row>
    <row r="360" spans="1:109" ht="51">
      <c r="A360" s="27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7"/>
      <c r="Y360" s="27"/>
      <c r="Z360" s="36" t="s">
        <v>1554</v>
      </c>
      <c r="AA360" s="36" t="s">
        <v>1555</v>
      </c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</row>
    <row r="361" spans="1:109">
      <c r="A361" s="27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7"/>
      <c r="Y361" s="27"/>
      <c r="Z361" s="36" t="s">
        <v>1556</v>
      </c>
      <c r="AA361" s="36" t="s">
        <v>1557</v>
      </c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</row>
    <row r="362" spans="1:109" ht="25.5">
      <c r="A362" s="27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7"/>
      <c r="Y362" s="27"/>
      <c r="Z362" s="36" t="s">
        <v>1558</v>
      </c>
      <c r="AA362" s="36" t="s">
        <v>1559</v>
      </c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</row>
    <row r="363" spans="1:109" ht="25.5">
      <c r="A363" s="27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7"/>
      <c r="Y363" s="27"/>
      <c r="Z363" s="36" t="s">
        <v>1560</v>
      </c>
      <c r="AA363" s="36" t="s">
        <v>1561</v>
      </c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</row>
    <row r="364" spans="1:109" ht="38.25">
      <c r="A364" s="27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7"/>
      <c r="Y364" s="27"/>
      <c r="Z364" s="36" t="s">
        <v>1562</v>
      </c>
      <c r="AA364" s="36" t="s">
        <v>1563</v>
      </c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</row>
    <row r="365" spans="1:109" ht="38.25">
      <c r="A365" s="27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7"/>
      <c r="Y365" s="27"/>
      <c r="Z365" s="36" t="s">
        <v>1564</v>
      </c>
      <c r="AA365" s="36" t="s">
        <v>1565</v>
      </c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</row>
    <row r="366" spans="1:109" ht="25.5">
      <c r="A366" s="27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7"/>
      <c r="Y366" s="27"/>
      <c r="Z366" s="36" t="s">
        <v>1566</v>
      </c>
      <c r="AA366" s="36" t="s">
        <v>1567</v>
      </c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</row>
    <row r="367" spans="1:109" ht="38.25">
      <c r="A367" s="27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7"/>
      <c r="Y367" s="27"/>
      <c r="Z367" s="36" t="s">
        <v>1568</v>
      </c>
      <c r="AA367" s="36" t="s">
        <v>1569</v>
      </c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</row>
    <row r="368" spans="1:109" ht="51">
      <c r="A368" s="27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7"/>
      <c r="Y368" s="27"/>
      <c r="Z368" s="36" t="s">
        <v>1570</v>
      </c>
      <c r="AA368" s="36" t="s">
        <v>1571</v>
      </c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</row>
    <row r="369" spans="1:109">
      <c r="A369" s="27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7"/>
      <c r="Y369" s="27"/>
      <c r="Z369" s="36" t="s">
        <v>1572</v>
      </c>
      <c r="AA369" s="36" t="s">
        <v>1573</v>
      </c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</row>
    <row r="370" spans="1:109" ht="76.5">
      <c r="A370" s="27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7"/>
      <c r="Y370" s="27"/>
      <c r="Z370" s="36" t="s">
        <v>1574</v>
      </c>
      <c r="AA370" s="36" t="s">
        <v>1575</v>
      </c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</row>
    <row r="371" spans="1:109" ht="38.25">
      <c r="A371" s="27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7"/>
      <c r="Y371" s="27"/>
      <c r="Z371" s="36" t="s">
        <v>1576</v>
      </c>
      <c r="AA371" s="36" t="s">
        <v>1577</v>
      </c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</row>
    <row r="372" spans="1:109" ht="63.75">
      <c r="A372" s="27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7"/>
      <c r="Y372" s="27"/>
      <c r="Z372" s="36" t="s">
        <v>1578</v>
      </c>
      <c r="AA372" s="36" t="s">
        <v>1579</v>
      </c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</row>
    <row r="373" spans="1:109" ht="25.5">
      <c r="A373" s="27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7"/>
      <c r="Y373" s="27"/>
      <c r="Z373" s="36" t="s">
        <v>1580</v>
      </c>
      <c r="AA373" s="36" t="s">
        <v>1581</v>
      </c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</row>
    <row r="374" spans="1:109" ht="38.25">
      <c r="A374" s="27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7"/>
      <c r="Y374" s="27"/>
      <c r="Z374" s="36" t="s">
        <v>1582</v>
      </c>
      <c r="AA374" s="36" t="s">
        <v>1583</v>
      </c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</row>
    <row r="375" spans="1:109" ht="25.5">
      <c r="A375" s="27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7"/>
      <c r="Y375" s="27"/>
      <c r="Z375" s="36" t="s">
        <v>1584</v>
      </c>
      <c r="AA375" s="36" t="s">
        <v>1585</v>
      </c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</row>
    <row r="376" spans="1:109" ht="51">
      <c r="A376" s="27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7"/>
      <c r="Y376" s="27"/>
      <c r="Z376" s="36" t="s">
        <v>1586</v>
      </c>
      <c r="AA376" s="36" t="s">
        <v>1587</v>
      </c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</row>
    <row r="377" spans="1:109">
      <c r="A377" s="27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7"/>
      <c r="Y377" s="27"/>
      <c r="Z377" s="36" t="s">
        <v>1588</v>
      </c>
      <c r="AA377" s="36" t="s">
        <v>1589</v>
      </c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</row>
    <row r="378" spans="1:109" ht="25.5">
      <c r="A378" s="27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7"/>
      <c r="Y378" s="27"/>
      <c r="Z378" s="36" t="s">
        <v>1590</v>
      </c>
      <c r="AA378" s="36" t="s">
        <v>1591</v>
      </c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</row>
    <row r="379" spans="1:109">
      <c r="A379" s="27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7"/>
      <c r="Y379" s="27"/>
      <c r="Z379" s="36" t="s">
        <v>1592</v>
      </c>
      <c r="AA379" s="36" t="s">
        <v>1593</v>
      </c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</row>
    <row r="380" spans="1:109" ht="76.5">
      <c r="A380" s="27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7"/>
      <c r="Y380" s="27"/>
      <c r="Z380" s="36" t="s">
        <v>1594</v>
      </c>
      <c r="AA380" s="36" t="s">
        <v>1595</v>
      </c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</row>
    <row r="381" spans="1:109" ht="38.25">
      <c r="A381" s="27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7"/>
      <c r="Y381" s="27"/>
      <c r="Z381" s="36" t="s">
        <v>1596</v>
      </c>
      <c r="AA381" s="36" t="s">
        <v>1597</v>
      </c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</row>
    <row r="382" spans="1:109" ht="38.25">
      <c r="A382" s="27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7"/>
      <c r="Y382" s="27"/>
      <c r="Z382" s="36" t="s">
        <v>1598</v>
      </c>
      <c r="AA382" s="36" t="s">
        <v>1599</v>
      </c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</row>
    <row r="383" spans="1:109" ht="38.25">
      <c r="A383" s="27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7"/>
      <c r="Y383" s="27"/>
      <c r="Z383" s="36" t="s">
        <v>1600</v>
      </c>
      <c r="AA383" s="36" t="s">
        <v>1601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</row>
    <row r="384" spans="1:109">
      <c r="A384" s="27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7"/>
      <c r="Y384" s="27"/>
      <c r="Z384" s="36" t="s">
        <v>1602</v>
      </c>
      <c r="AA384" s="36" t="s">
        <v>1603</v>
      </c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</row>
    <row r="385" spans="1:109">
      <c r="A385" s="27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7"/>
      <c r="Y385" s="27"/>
      <c r="Z385" s="36" t="s">
        <v>1604</v>
      </c>
      <c r="AA385" s="36" t="s">
        <v>1605</v>
      </c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</row>
    <row r="386" spans="1:109" ht="76.5">
      <c r="A386" s="27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7"/>
      <c r="Y386" s="27"/>
      <c r="Z386" s="36" t="s">
        <v>1606</v>
      </c>
      <c r="AA386" s="36" t="s">
        <v>1607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</row>
    <row r="387" spans="1:109" ht="38.25">
      <c r="A387" s="27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7"/>
      <c r="Y387" s="27"/>
      <c r="Z387" s="36" t="s">
        <v>1608</v>
      </c>
      <c r="AA387" s="36" t="s">
        <v>1609</v>
      </c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</row>
    <row r="388" spans="1:109" ht="25.5">
      <c r="A388" s="27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7"/>
      <c r="Y388" s="27"/>
      <c r="Z388" s="36" t="s">
        <v>1610</v>
      </c>
      <c r="AA388" s="36" t="s">
        <v>1611</v>
      </c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</row>
    <row r="389" spans="1:109" ht="51">
      <c r="A389" s="27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7"/>
      <c r="Y389" s="27"/>
      <c r="Z389" s="36" t="s">
        <v>1612</v>
      </c>
      <c r="AA389" s="36" t="s">
        <v>1613</v>
      </c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</row>
    <row r="390" spans="1:109" ht="38.25">
      <c r="A390" s="27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7"/>
      <c r="Y390" s="27"/>
      <c r="Z390" s="36" t="s">
        <v>1614</v>
      </c>
      <c r="AA390" s="36" t="s">
        <v>1615</v>
      </c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</row>
    <row r="391" spans="1:109" ht="38.25">
      <c r="A391" s="27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7"/>
      <c r="Y391" s="27"/>
      <c r="Z391" s="36" t="s">
        <v>1616</v>
      </c>
      <c r="AA391" s="36" t="s">
        <v>1617</v>
      </c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</row>
    <row r="392" spans="1:109" ht="25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7"/>
      <c r="Y392" s="27"/>
      <c r="Z392" s="36" t="s">
        <v>1618</v>
      </c>
      <c r="AA392" s="36" t="s">
        <v>1619</v>
      </c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</row>
    <row r="393" spans="1:109" ht="63.75">
      <c r="A393" s="27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7"/>
      <c r="Y393" s="27"/>
      <c r="Z393" s="36" t="s">
        <v>1620</v>
      </c>
      <c r="AA393" s="36" t="s">
        <v>1621</v>
      </c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</row>
    <row r="394" spans="1:109">
      <c r="A394" s="27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7"/>
      <c r="Y394" s="27"/>
      <c r="Z394" s="36" t="s">
        <v>1622</v>
      </c>
      <c r="AA394" s="36" t="s">
        <v>1623</v>
      </c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</row>
    <row r="395" spans="1:109" ht="25.5">
      <c r="A395" s="27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7"/>
      <c r="Y395" s="27"/>
      <c r="Z395" s="36" t="s">
        <v>1624</v>
      </c>
      <c r="AA395" s="36" t="s">
        <v>1625</v>
      </c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</row>
    <row r="396" spans="1:109" ht="25.5">
      <c r="A396" s="27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7"/>
      <c r="Y396" s="27"/>
      <c r="Z396" s="36" t="s">
        <v>1626</v>
      </c>
      <c r="AA396" s="36" t="s">
        <v>1627</v>
      </c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</row>
    <row r="397" spans="1:109" ht="25.5">
      <c r="A397" s="27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7"/>
      <c r="Y397" s="27"/>
      <c r="Z397" s="36" t="s">
        <v>1628</v>
      </c>
      <c r="AA397" s="36" t="s">
        <v>1629</v>
      </c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</row>
    <row r="398" spans="1:109" ht="38.25">
      <c r="A398" s="27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7"/>
      <c r="Y398" s="27"/>
      <c r="Z398" s="36" t="s">
        <v>1630</v>
      </c>
      <c r="AA398" s="36" t="s">
        <v>1631</v>
      </c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</row>
    <row r="399" spans="1:109" ht="51">
      <c r="A399" s="27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7"/>
      <c r="Y399" s="27"/>
      <c r="Z399" s="36" t="s">
        <v>1632</v>
      </c>
      <c r="AA399" s="36" t="s">
        <v>1633</v>
      </c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</row>
    <row r="400" spans="1:109" ht="38.25">
      <c r="A400" s="27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7"/>
      <c r="Y400" s="27"/>
      <c r="Z400" s="36" t="s">
        <v>1634</v>
      </c>
      <c r="AA400" s="36" t="s">
        <v>1635</v>
      </c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</row>
    <row r="401" spans="1:109" ht="51">
      <c r="A401" s="27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7"/>
      <c r="Y401" s="27"/>
      <c r="Z401" s="36" t="s">
        <v>1636</v>
      </c>
      <c r="AA401" s="36" t="s">
        <v>1637</v>
      </c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</row>
    <row r="402" spans="1:109" ht="25.5">
      <c r="A402" s="27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7"/>
      <c r="Y402" s="27"/>
      <c r="Z402" s="36" t="s">
        <v>1638</v>
      </c>
      <c r="AA402" s="36" t="s">
        <v>1639</v>
      </c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</row>
    <row r="403" spans="1:109">
      <c r="A403" s="27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7"/>
      <c r="Y403" s="27"/>
      <c r="Z403" s="36" t="s">
        <v>1640</v>
      </c>
      <c r="AA403" s="36" t="s">
        <v>1641</v>
      </c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</row>
    <row r="404" spans="1:109" ht="25.5">
      <c r="A404" s="27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7"/>
      <c r="Y404" s="27"/>
      <c r="Z404" s="36" t="s">
        <v>1642</v>
      </c>
      <c r="AA404" s="36" t="s">
        <v>1643</v>
      </c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</row>
    <row r="405" spans="1:109" ht="25.5">
      <c r="A405" s="27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7"/>
      <c r="Y405" s="27"/>
      <c r="Z405" s="36" t="s">
        <v>1644</v>
      </c>
      <c r="AA405" s="36" t="s">
        <v>1645</v>
      </c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</row>
    <row r="406" spans="1:109">
      <c r="A406" s="27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7"/>
      <c r="Y406" s="27"/>
      <c r="Z406" s="36" t="s">
        <v>1646</v>
      </c>
      <c r="AA406" s="36" t="s">
        <v>1647</v>
      </c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</row>
    <row r="407" spans="1:109" ht="25.5">
      <c r="A407" s="27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7"/>
      <c r="Y407" s="27"/>
      <c r="Z407" s="36" t="s">
        <v>1648</v>
      </c>
      <c r="AA407" s="36" t="s">
        <v>1649</v>
      </c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</row>
    <row r="408" spans="1:109">
      <c r="A408" s="27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7"/>
      <c r="Y408" s="27"/>
      <c r="Z408" s="36" t="s">
        <v>1650</v>
      </c>
      <c r="AA408" s="36" t="s">
        <v>1651</v>
      </c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</row>
    <row r="409" spans="1:109" ht="76.5">
      <c r="A409" s="27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7"/>
      <c r="Y409" s="27"/>
      <c r="Z409" s="36" t="s">
        <v>1652</v>
      </c>
      <c r="AA409" s="36" t="s">
        <v>1653</v>
      </c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</row>
    <row r="410" spans="1:109" ht="38.25">
      <c r="A410" s="27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7"/>
      <c r="Y410" s="27"/>
      <c r="Z410" s="36" t="s">
        <v>1654</v>
      </c>
      <c r="AA410" s="36" t="s">
        <v>1655</v>
      </c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</row>
    <row r="411" spans="1:109" ht="63.75">
      <c r="A411" s="27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7"/>
      <c r="Y411" s="27"/>
      <c r="Z411" s="36" t="s">
        <v>1656</v>
      </c>
      <c r="AA411" s="36" t="s">
        <v>1657</v>
      </c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</row>
    <row r="412" spans="1:109" ht="25.5">
      <c r="A412" s="27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7"/>
      <c r="Y412" s="27"/>
      <c r="Z412" s="36" t="s">
        <v>1658</v>
      </c>
      <c r="AA412" s="36" t="s">
        <v>1659</v>
      </c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</row>
    <row r="413" spans="1:109" ht="63.75">
      <c r="A413" s="27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7"/>
      <c r="Y413" s="27"/>
      <c r="Z413" s="36" t="s">
        <v>1660</v>
      </c>
      <c r="AA413" s="36" t="s">
        <v>1661</v>
      </c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</row>
    <row r="414" spans="1:109" ht="25.5">
      <c r="A414" s="27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7"/>
      <c r="Y414" s="27"/>
      <c r="Z414" s="36" t="s">
        <v>1662</v>
      </c>
      <c r="AA414" s="36" t="s">
        <v>1663</v>
      </c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</row>
    <row r="415" spans="1:109" ht="38.25">
      <c r="A415" s="27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7"/>
      <c r="Y415" s="27"/>
      <c r="Z415" s="36" t="s">
        <v>1664</v>
      </c>
      <c r="AA415" s="36" t="s">
        <v>1665</v>
      </c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</row>
    <row r="416" spans="1:109" ht="25.5">
      <c r="A416" s="27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7"/>
      <c r="Y416" s="27"/>
      <c r="Z416" s="36" t="s">
        <v>1666</v>
      </c>
      <c r="AA416" s="36" t="s">
        <v>1667</v>
      </c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</row>
    <row r="417" spans="1:109">
      <c r="A417" s="27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7"/>
      <c r="Y417" s="27"/>
      <c r="Z417" s="36" t="s">
        <v>1668</v>
      </c>
      <c r="AA417" s="36" t="s">
        <v>1669</v>
      </c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</row>
    <row r="418" spans="1:109" ht="51">
      <c r="A418" s="27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7"/>
      <c r="Y418" s="27"/>
      <c r="Z418" s="36" t="s">
        <v>1670</v>
      </c>
      <c r="AA418" s="36" t="s">
        <v>1671</v>
      </c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</row>
    <row r="419" spans="1:109" ht="51">
      <c r="A419" s="27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7"/>
      <c r="Y419" s="27"/>
      <c r="Z419" s="36" t="s">
        <v>1672</v>
      </c>
      <c r="AA419" s="36" t="s">
        <v>1673</v>
      </c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</row>
    <row r="420" spans="1:109" ht="51">
      <c r="A420" s="27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7"/>
      <c r="Y420" s="27"/>
      <c r="Z420" s="36" t="s">
        <v>1674</v>
      </c>
      <c r="AA420" s="36" t="s">
        <v>1675</v>
      </c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</row>
    <row r="421" spans="1:109">
      <c r="A421" s="27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7"/>
      <c r="Y421" s="27"/>
      <c r="Z421" s="36" t="s">
        <v>1676</v>
      </c>
      <c r="AA421" s="36" t="s">
        <v>1677</v>
      </c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</row>
    <row r="422" spans="1:109" ht="25.5">
      <c r="A422" s="27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7"/>
      <c r="Y422" s="27"/>
      <c r="Z422" s="36" t="s">
        <v>1678</v>
      </c>
      <c r="AA422" s="36" t="s">
        <v>1679</v>
      </c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</row>
    <row r="423" spans="1:109" ht="38.25">
      <c r="A423" s="27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7"/>
      <c r="Y423" s="27"/>
      <c r="Z423" s="36" t="s">
        <v>1680</v>
      </c>
      <c r="AA423" s="36" t="s">
        <v>1681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</row>
    <row r="424" spans="1:109" ht="38.25">
      <c r="A424" s="27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7"/>
      <c r="Y424" s="27"/>
      <c r="Z424" s="36" t="s">
        <v>1682</v>
      </c>
      <c r="AA424" s="36" t="s">
        <v>1683</v>
      </c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</row>
    <row r="425" spans="1:109" ht="25.5">
      <c r="A425" s="27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7"/>
      <c r="Y425" s="27"/>
      <c r="Z425" s="36" t="s">
        <v>1684</v>
      </c>
      <c r="AA425" s="36" t="s">
        <v>1685</v>
      </c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</row>
    <row r="426" spans="1:109" ht="38.25">
      <c r="A426" s="27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7"/>
      <c r="Y426" s="27"/>
      <c r="Z426" s="36" t="s">
        <v>1686</v>
      </c>
      <c r="AA426" s="36" t="s">
        <v>1687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</row>
    <row r="427" spans="1:109" ht="25.5">
      <c r="A427" s="27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7"/>
      <c r="Y427" s="27"/>
      <c r="Z427" s="36" t="s">
        <v>1688</v>
      </c>
      <c r="AA427" s="36" t="s">
        <v>1689</v>
      </c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</row>
    <row r="428" spans="1:109" ht="38.25">
      <c r="A428" s="27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7"/>
      <c r="Y428" s="27"/>
      <c r="Z428" s="36" t="s">
        <v>1690</v>
      </c>
      <c r="AA428" s="36" t="s">
        <v>1691</v>
      </c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</row>
    <row r="429" spans="1:109" ht="38.25">
      <c r="A429" s="27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7"/>
      <c r="Y429" s="27"/>
      <c r="Z429" s="36" t="s">
        <v>1692</v>
      </c>
      <c r="AA429" s="36" t="s">
        <v>1693</v>
      </c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</row>
    <row r="430" spans="1:109" ht="38.25">
      <c r="A430" s="27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7"/>
      <c r="Y430" s="27"/>
      <c r="Z430" s="36" t="s">
        <v>1694</v>
      </c>
      <c r="AA430" s="36" t="s">
        <v>1695</v>
      </c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</row>
    <row r="431" spans="1:109" ht="51">
      <c r="A431" s="27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7"/>
      <c r="Y431" s="27"/>
      <c r="Z431" s="36" t="s">
        <v>1696</v>
      </c>
      <c r="AA431" s="36" t="s">
        <v>1697</v>
      </c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</row>
    <row r="432" spans="1:109" ht="38.25">
      <c r="A432" s="27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7"/>
      <c r="Y432" s="27"/>
      <c r="Z432" s="36" t="s">
        <v>1698</v>
      </c>
      <c r="AA432" s="36" t="s">
        <v>1699</v>
      </c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</row>
    <row r="433" spans="1:109">
      <c r="A433" s="27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7"/>
      <c r="Y433" s="27"/>
      <c r="Z433" s="36" t="s">
        <v>1700</v>
      </c>
      <c r="AA433" s="36" t="s">
        <v>1701</v>
      </c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</row>
    <row r="434" spans="1:109">
      <c r="A434" s="27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7"/>
      <c r="Y434" s="27"/>
      <c r="Z434" s="36" t="s">
        <v>1702</v>
      </c>
      <c r="AA434" s="36" t="s">
        <v>1703</v>
      </c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</row>
    <row r="435" spans="1:109" ht="25.5">
      <c r="A435" s="27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7"/>
      <c r="Y435" s="27"/>
      <c r="Z435" s="36" t="s">
        <v>1704</v>
      </c>
      <c r="AA435" s="36" t="s">
        <v>1705</v>
      </c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</row>
    <row r="436" spans="1:109" ht="63.75">
      <c r="A436" s="27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7"/>
      <c r="Y436" s="27"/>
      <c r="Z436" s="36" t="s">
        <v>1706</v>
      </c>
      <c r="AA436" s="36" t="s">
        <v>1707</v>
      </c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</row>
    <row r="437" spans="1:109" ht="25.5">
      <c r="A437" s="27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7"/>
      <c r="Y437" s="27"/>
      <c r="Z437" s="36" t="s">
        <v>1708</v>
      </c>
      <c r="AA437" s="36" t="s">
        <v>1709</v>
      </c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</row>
    <row r="438" spans="1:109" ht="38.25">
      <c r="A438" s="27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7"/>
      <c r="Y438" s="27"/>
      <c r="Z438" s="36" t="s">
        <v>1710</v>
      </c>
      <c r="AA438" s="36" t="s">
        <v>1711</v>
      </c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</row>
    <row r="439" spans="1:109">
      <c r="A439" s="27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7"/>
      <c r="Y439" s="27"/>
      <c r="Z439" s="36" t="s">
        <v>1712</v>
      </c>
      <c r="AA439" s="36" t="s">
        <v>1713</v>
      </c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</row>
    <row r="440" spans="1:109" ht="38.25">
      <c r="A440" s="27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7"/>
      <c r="Y440" s="27"/>
      <c r="Z440" s="36" t="s">
        <v>1714</v>
      </c>
      <c r="AA440" s="36" t="s">
        <v>1715</v>
      </c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</row>
    <row r="441" spans="1:109" ht="51">
      <c r="A441" s="27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7"/>
      <c r="Y441" s="27"/>
      <c r="Z441" s="36" t="s">
        <v>1716</v>
      </c>
      <c r="AA441" s="36" t="s">
        <v>1717</v>
      </c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</row>
    <row r="442" spans="1:109" ht="51">
      <c r="A442" s="27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7"/>
      <c r="Y442" s="27"/>
      <c r="Z442" s="36" t="s">
        <v>1718</v>
      </c>
      <c r="AA442" s="36" t="s">
        <v>1719</v>
      </c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</row>
    <row r="443" spans="1:109" ht="25.5">
      <c r="A443" s="27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7"/>
      <c r="Y443" s="27"/>
      <c r="Z443" s="36" t="s">
        <v>1720</v>
      </c>
      <c r="AA443" s="36" t="s">
        <v>1721</v>
      </c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</row>
    <row r="444" spans="1:109" ht="25.5">
      <c r="A444" s="27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7"/>
      <c r="Y444" s="27"/>
      <c r="Z444" s="36" t="s">
        <v>1722</v>
      </c>
      <c r="AA444" s="36" t="s">
        <v>1723</v>
      </c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</row>
    <row r="445" spans="1:109" ht="38.25">
      <c r="A445" s="27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7"/>
      <c r="Y445" s="27"/>
      <c r="Z445" s="36" t="s">
        <v>1724</v>
      </c>
      <c r="AA445" s="36" t="s">
        <v>1725</v>
      </c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</row>
    <row r="446" spans="1:109" ht="25.5">
      <c r="A446" s="27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7"/>
      <c r="Y446" s="27"/>
      <c r="Z446" s="36" t="s">
        <v>1726</v>
      </c>
      <c r="AA446" s="36" t="s">
        <v>1727</v>
      </c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</row>
    <row r="447" spans="1:109" ht="25.5">
      <c r="A447" s="27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7"/>
      <c r="Y447" s="27"/>
      <c r="Z447" s="36" t="s">
        <v>1728</v>
      </c>
      <c r="AA447" s="36" t="s">
        <v>1729</v>
      </c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</row>
    <row r="448" spans="1:109" ht="25.5">
      <c r="A448" s="27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7"/>
      <c r="Y448" s="27"/>
      <c r="Z448" s="36" t="s">
        <v>1730</v>
      </c>
      <c r="AA448" s="36" t="s">
        <v>1731</v>
      </c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</row>
    <row r="449" spans="1:109" ht="63.75">
      <c r="A449" s="27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7"/>
      <c r="Y449" s="27"/>
      <c r="Z449" s="36" t="s">
        <v>1732</v>
      </c>
      <c r="AA449" s="36" t="s">
        <v>1733</v>
      </c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</row>
    <row r="450" spans="1:109" ht="25.5">
      <c r="A450" s="27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7"/>
      <c r="Y450" s="27"/>
      <c r="Z450" s="36" t="s">
        <v>1734</v>
      </c>
      <c r="AA450" s="36" t="s">
        <v>1735</v>
      </c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</row>
    <row r="451" spans="1:109" ht="51">
      <c r="A451" s="27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7"/>
      <c r="Y451" s="27"/>
      <c r="Z451" s="36" t="s">
        <v>1736</v>
      </c>
      <c r="AA451" s="36" t="s">
        <v>1737</v>
      </c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</row>
    <row r="452" spans="1:109" ht="63.75">
      <c r="A452" s="27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7"/>
      <c r="Y452" s="27"/>
      <c r="Z452" s="36" t="s">
        <v>1738</v>
      </c>
      <c r="AA452" s="36" t="s">
        <v>1739</v>
      </c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</row>
    <row r="453" spans="1:109" ht="25.5">
      <c r="A453" s="27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7"/>
      <c r="Y453" s="27"/>
      <c r="Z453" s="36" t="s">
        <v>1740</v>
      </c>
      <c r="AA453" s="36" t="s">
        <v>1741</v>
      </c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</row>
    <row r="454" spans="1:109" ht="51">
      <c r="A454" s="27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7"/>
      <c r="Y454" s="27"/>
      <c r="Z454" s="36" t="s">
        <v>1742</v>
      </c>
      <c r="AA454" s="36" t="s">
        <v>1743</v>
      </c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</row>
    <row r="455" spans="1:109" ht="89.25">
      <c r="A455" s="27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7"/>
      <c r="Y455" s="27"/>
      <c r="Z455" s="36" t="s">
        <v>1744</v>
      </c>
      <c r="AA455" s="36" t="s">
        <v>1745</v>
      </c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</row>
    <row r="456" spans="1:109">
      <c r="A456" s="27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7"/>
      <c r="Y456" s="27"/>
      <c r="Z456" s="36" t="s">
        <v>1746</v>
      </c>
      <c r="AA456" s="36" t="s">
        <v>1747</v>
      </c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</row>
    <row r="457" spans="1:109" ht="51">
      <c r="A457" s="27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7"/>
      <c r="Y457" s="27"/>
      <c r="Z457" s="36" t="s">
        <v>1748</v>
      </c>
      <c r="AA457" s="36" t="s">
        <v>1749</v>
      </c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</row>
    <row r="458" spans="1:109" ht="51">
      <c r="A458" s="27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7"/>
      <c r="Y458" s="27"/>
      <c r="Z458" s="36" t="s">
        <v>1750</v>
      </c>
      <c r="AA458" s="36" t="s">
        <v>1751</v>
      </c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</row>
    <row r="459" spans="1:109" ht="51">
      <c r="A459" s="27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7"/>
      <c r="Y459" s="27"/>
      <c r="Z459" s="36" t="s">
        <v>1752</v>
      </c>
      <c r="AA459" s="36" t="s">
        <v>1753</v>
      </c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</row>
    <row r="460" spans="1:109">
      <c r="A460" s="27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7"/>
      <c r="Y460" s="27"/>
      <c r="Z460" s="36" t="s">
        <v>1754</v>
      </c>
      <c r="AA460" s="36" t="s">
        <v>1755</v>
      </c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</row>
    <row r="461" spans="1:109">
      <c r="A461" s="27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7"/>
      <c r="Y461" s="27"/>
      <c r="Z461" s="36" t="s">
        <v>1756</v>
      </c>
      <c r="AA461" s="36" t="s">
        <v>1757</v>
      </c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</row>
    <row r="462" spans="1:109" ht="51">
      <c r="A462" s="27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7"/>
      <c r="Y462" s="27"/>
      <c r="Z462" s="36" t="s">
        <v>1758</v>
      </c>
      <c r="AA462" s="36" t="s">
        <v>1759</v>
      </c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</row>
    <row r="463" spans="1:109" ht="76.5">
      <c r="A463" s="27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7"/>
      <c r="Y463" s="27"/>
      <c r="Z463" s="36" t="s">
        <v>1760</v>
      </c>
      <c r="AA463" s="36" t="s">
        <v>1761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</row>
    <row r="464" spans="1:109" ht="51">
      <c r="A464" s="27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7"/>
      <c r="Y464" s="27"/>
      <c r="Z464" s="36" t="s">
        <v>1762</v>
      </c>
      <c r="AA464" s="36" t="s">
        <v>1763</v>
      </c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</row>
    <row r="465" spans="1:109" ht="51">
      <c r="A465" s="27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7"/>
      <c r="Y465" s="27"/>
      <c r="Z465" s="36" t="s">
        <v>1764</v>
      </c>
      <c r="AA465" s="36" t="s">
        <v>1765</v>
      </c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</row>
    <row r="466" spans="1:109" ht="38.25">
      <c r="A466" s="27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7"/>
      <c r="Y466" s="27"/>
      <c r="Z466" s="36" t="s">
        <v>1766</v>
      </c>
      <c r="AA466" s="36" t="s">
        <v>1767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</row>
    <row r="467" spans="1:109" ht="38.25">
      <c r="A467" s="27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7"/>
      <c r="Y467" s="27"/>
      <c r="Z467" s="36" t="s">
        <v>1768</v>
      </c>
      <c r="AA467" s="36" t="s">
        <v>1769</v>
      </c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</row>
    <row r="468" spans="1:109" ht="38.25">
      <c r="A468" s="27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7"/>
      <c r="Y468" s="27"/>
      <c r="Z468" s="36" t="s">
        <v>1770</v>
      </c>
      <c r="AA468" s="36" t="s">
        <v>1771</v>
      </c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</row>
    <row r="469" spans="1:109" ht="51">
      <c r="A469" s="27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7"/>
      <c r="Y469" s="27"/>
      <c r="Z469" s="36" t="s">
        <v>1772</v>
      </c>
      <c r="AA469" s="36" t="s">
        <v>1773</v>
      </c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</row>
    <row r="470" spans="1:109">
      <c r="A470" s="27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7"/>
      <c r="Y470" s="27"/>
      <c r="Z470" s="36" t="s">
        <v>1774</v>
      </c>
      <c r="AA470" s="36" t="s">
        <v>1775</v>
      </c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</row>
    <row r="471" spans="1:109" ht="51">
      <c r="A471" s="27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7"/>
      <c r="Y471" s="27"/>
      <c r="Z471" s="36" t="s">
        <v>1776</v>
      </c>
      <c r="AA471" s="36" t="s">
        <v>1777</v>
      </c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</row>
    <row r="472" spans="1:109" ht="25.5">
      <c r="A472" s="27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7"/>
      <c r="Y472" s="27"/>
      <c r="Z472" s="36" t="s">
        <v>1778</v>
      </c>
      <c r="AA472" s="36" t="s">
        <v>1779</v>
      </c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</row>
    <row r="473" spans="1:109" ht="63.75">
      <c r="A473" s="27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7"/>
      <c r="Y473" s="27"/>
      <c r="Z473" s="36" t="s">
        <v>1780</v>
      </c>
      <c r="AA473" s="36" t="s">
        <v>1781</v>
      </c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</row>
    <row r="474" spans="1:109" ht="25.5">
      <c r="A474" s="27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7"/>
      <c r="Y474" s="27"/>
      <c r="Z474" s="36" t="s">
        <v>1782</v>
      </c>
      <c r="AA474" s="36" t="s">
        <v>1783</v>
      </c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</row>
    <row r="475" spans="1:109" ht="25.5">
      <c r="A475" s="27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7"/>
      <c r="Y475" s="27"/>
      <c r="Z475" s="36" t="s">
        <v>1784</v>
      </c>
      <c r="AA475" s="36" t="s">
        <v>1785</v>
      </c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</row>
    <row r="476" spans="1:109" ht="76.5">
      <c r="A476" s="27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7"/>
      <c r="Y476" s="27"/>
      <c r="Z476" s="36" t="s">
        <v>1786</v>
      </c>
      <c r="AA476" s="36" t="s">
        <v>1787</v>
      </c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</row>
    <row r="477" spans="1:109" ht="89.25">
      <c r="A477" s="27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7"/>
      <c r="Y477" s="27"/>
      <c r="Z477" s="36" t="s">
        <v>1788</v>
      </c>
      <c r="AA477" s="36" t="s">
        <v>1789</v>
      </c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</row>
    <row r="478" spans="1:109">
      <c r="A478" s="27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7"/>
      <c r="Y478" s="27"/>
      <c r="Z478" s="36" t="s">
        <v>1790</v>
      </c>
      <c r="AA478" s="36" t="s">
        <v>1791</v>
      </c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</row>
    <row r="479" spans="1:109" ht="76.5">
      <c r="A479" s="27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7"/>
      <c r="Y479" s="27"/>
      <c r="Z479" s="36" t="s">
        <v>1792</v>
      </c>
      <c r="AA479" s="36" t="s">
        <v>1793</v>
      </c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</row>
    <row r="480" spans="1:109" ht="38.25">
      <c r="A480" s="27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7"/>
      <c r="Y480" s="27"/>
      <c r="Z480" s="36" t="s">
        <v>1794</v>
      </c>
      <c r="AA480" s="36" t="s">
        <v>1795</v>
      </c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</row>
    <row r="481" spans="1:109">
      <c r="A481" s="27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7"/>
      <c r="Y481" s="27"/>
      <c r="Z481" s="36" t="s">
        <v>1796</v>
      </c>
      <c r="AA481" s="36" t="s">
        <v>1797</v>
      </c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</row>
    <row r="482" spans="1:109" ht="38.25">
      <c r="A482" s="27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7"/>
      <c r="Y482" s="27"/>
      <c r="Z482" s="36" t="s">
        <v>1798</v>
      </c>
      <c r="AA482" s="36" t="s">
        <v>1799</v>
      </c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</row>
    <row r="483" spans="1:109" ht="51">
      <c r="A483" s="27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7"/>
      <c r="Y483" s="27"/>
      <c r="Z483" s="36" t="s">
        <v>1800</v>
      </c>
      <c r="AA483" s="36" t="s">
        <v>1801</v>
      </c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</row>
    <row r="484" spans="1:109" ht="25.5">
      <c r="A484" s="27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7"/>
      <c r="Y484" s="27"/>
      <c r="Z484" s="36" t="s">
        <v>1802</v>
      </c>
      <c r="AA484" s="36" t="s">
        <v>1803</v>
      </c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</row>
    <row r="485" spans="1:109" ht="51">
      <c r="A485" s="27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7"/>
      <c r="Y485" s="27"/>
      <c r="Z485" s="36" t="s">
        <v>1804</v>
      </c>
      <c r="AA485" s="36" t="s">
        <v>1805</v>
      </c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</row>
    <row r="486" spans="1:109">
      <c r="A486" s="27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</row>
    <row r="487" spans="1:109">
      <c r="A487" s="27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</row>
    <row r="488" spans="1:109">
      <c r="A488" s="27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</row>
    <row r="489" spans="1:109">
      <c r="A489" s="27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</row>
    <row r="490" spans="1:109">
      <c r="A490" s="27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</row>
    <row r="491" spans="1:109">
      <c r="A491" s="27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</row>
    <row r="492" spans="1:109">
      <c r="A492" s="27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</row>
    <row r="493" spans="1:109">
      <c r="A493" s="27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</row>
    <row r="494" spans="1:109">
      <c r="A494" s="27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</row>
    <row r="495" spans="1:109">
      <c r="A495" s="27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</row>
    <row r="496" spans="1:109">
      <c r="A496" s="27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</row>
    <row r="497" spans="1:109">
      <c r="A497" s="27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</row>
    <row r="498" spans="1:109">
      <c r="A498" s="27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</row>
    <row r="499" spans="1:109">
      <c r="A499" s="27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</row>
    <row r="500" spans="1:109">
      <c r="A500" s="27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</row>
    <row r="501" spans="1:109">
      <c r="A501" s="27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</row>
    <row r="502" spans="1:109">
      <c r="A502" s="27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</row>
    <row r="503" spans="1:109">
      <c r="A503" s="27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</row>
    <row r="504" spans="1:109">
      <c r="A504" s="27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</row>
    <row r="505" spans="1:109">
      <c r="A505" s="27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</row>
    <row r="506" spans="1:109">
      <c r="A506" s="27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</row>
    <row r="507" spans="1:109">
      <c r="A507" s="27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</row>
    <row r="508" spans="1:109">
      <c r="A508" s="27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</row>
    <row r="509" spans="1:109">
      <c r="A509" s="27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</row>
    <row r="510" spans="1:109">
      <c r="A510" s="27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</row>
    <row r="511" spans="1:109">
      <c r="A511" s="27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</row>
    <row r="512" spans="1:109">
      <c r="A512" s="27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</row>
    <row r="513" spans="1:109">
      <c r="A513" s="27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</row>
    <row r="514" spans="1:109">
      <c r="A514" s="27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</row>
    <row r="515" spans="1:109">
      <c r="A515" s="27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</row>
    <row r="516" spans="1:109">
      <c r="A516" s="27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</row>
    <row r="517" spans="1:109">
      <c r="A517" s="27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</row>
    <row r="518" spans="1:109">
      <c r="A518" s="27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</row>
    <row r="519" spans="1:109">
      <c r="A519" s="27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</row>
    <row r="520" spans="1:109">
      <c r="A520" s="27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</row>
    <row r="521" spans="1:109">
      <c r="A521" s="27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</row>
    <row r="522" spans="1:109">
      <c r="A522" s="27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</row>
    <row r="523" spans="1:109">
      <c r="A523" s="27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</row>
    <row r="524" spans="1:109">
      <c r="A524" s="27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</row>
    <row r="525" spans="1:109">
      <c r="A525" s="27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</row>
    <row r="526" spans="1:109">
      <c r="A526" s="27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</row>
    <row r="527" spans="1:109">
      <c r="A527" s="27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</row>
    <row r="528" spans="1:109">
      <c r="A528" s="27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</row>
    <row r="529" spans="1:109">
      <c r="A529" s="27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</row>
    <row r="530" spans="1:109">
      <c r="A530" s="27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</row>
    <row r="531" spans="1:109">
      <c r="A531" s="27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</row>
    <row r="532" spans="1:109">
      <c r="A532" s="27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</row>
    <row r="533" spans="1:109">
      <c r="A533" s="27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</row>
    <row r="534" spans="1:109">
      <c r="A534" s="27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</row>
    <row r="535" spans="1:109">
      <c r="A535" s="27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</row>
    <row r="536" spans="1:109">
      <c r="A536" s="27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</row>
    <row r="537" spans="1:109">
      <c r="A537" s="27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</row>
    <row r="538" spans="1:109">
      <c r="A538" s="27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</row>
    <row r="539" spans="1:109">
      <c r="A539" s="27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</row>
    <row r="540" spans="1:109">
      <c r="A540" s="27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</row>
    <row r="541" spans="1:109">
      <c r="A541" s="27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</row>
    <row r="542" spans="1:109">
      <c r="A542" s="27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</row>
    <row r="543" spans="1:109">
      <c r="A543" s="27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</row>
    <row r="544" spans="1:109">
      <c r="A544" s="27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</row>
    <row r="545" spans="1:109">
      <c r="A545" s="27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</row>
    <row r="546" spans="1:109">
      <c r="A546" s="27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</row>
    <row r="547" spans="1:109">
      <c r="A547" s="27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</row>
    <row r="548" spans="1:109">
      <c r="A548" s="27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</row>
    <row r="549" spans="1:109">
      <c r="A549" s="27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</row>
    <row r="550" spans="1:109">
      <c r="A550" s="27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</row>
    <row r="551" spans="1:109">
      <c r="A551" s="27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</row>
    <row r="552" spans="1:109">
      <c r="A552" s="27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</row>
    <row r="553" spans="1:109">
      <c r="A553" s="27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</row>
    <row r="554" spans="1:109">
      <c r="A554" s="27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</row>
    <row r="555" spans="1:109">
      <c r="A555" s="27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</row>
    <row r="556" spans="1:109">
      <c r="A556" s="27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</row>
    <row r="557" spans="1:109">
      <c r="A557" s="27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</row>
    <row r="558" spans="1:109">
      <c r="A558" s="27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</row>
    <row r="559" spans="1:109">
      <c r="A559" s="27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</row>
    <row r="560" spans="1:109">
      <c r="A560" s="27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</row>
    <row r="561" spans="1:109">
      <c r="A561" s="27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</row>
    <row r="562" spans="1:109">
      <c r="A562" s="27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</row>
    <row r="563" spans="1:109">
      <c r="A563" s="27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</row>
    <row r="564" spans="1:109">
      <c r="A564" s="27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</row>
    <row r="565" spans="1:109">
      <c r="A565" s="27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</row>
    <row r="566" spans="1:109">
      <c r="A566" s="27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</row>
    <row r="567" spans="1:109">
      <c r="A567" s="27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</row>
    <row r="568" spans="1:109">
      <c r="A568" s="27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</row>
    <row r="569" spans="1:109">
      <c r="A569" s="27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</row>
    <row r="570" spans="1:109">
      <c r="A570" s="27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</row>
    <row r="571" spans="1:109">
      <c r="A571" s="27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</row>
    <row r="572" spans="1:109">
      <c r="A572" s="27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</row>
    <row r="573" spans="1:109">
      <c r="A573" s="27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</row>
    <row r="574" spans="1:109">
      <c r="A574" s="27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</row>
    <row r="575" spans="1:109">
      <c r="A575" s="27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</row>
    <row r="576" spans="1:109">
      <c r="A576" s="27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</row>
    <row r="577" spans="1:109">
      <c r="A577" s="27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</row>
    <row r="578" spans="1:109">
      <c r="A578" s="27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</row>
    <row r="579" spans="1:109">
      <c r="A579" s="27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</row>
    <row r="580" spans="1:109">
      <c r="A580" s="27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</row>
    <row r="581" spans="1:109">
      <c r="A581" s="27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</row>
    <row r="582" spans="1:109">
      <c r="A582" s="27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</row>
    <row r="583" spans="1:109">
      <c r="A583" s="27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</row>
    <row r="584" spans="1:109">
      <c r="A584" s="27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</row>
    <row r="585" spans="1:109">
      <c r="A585" s="27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</row>
    <row r="586" spans="1:109">
      <c r="A586" s="27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</row>
    <row r="587" spans="1:109">
      <c r="A587" s="27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</row>
    <row r="588" spans="1:109">
      <c r="A588" s="27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</row>
    <row r="589" spans="1:109">
      <c r="A589" s="27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</row>
    <row r="590" spans="1:109">
      <c r="A590" s="27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</row>
    <row r="591" spans="1:109">
      <c r="A591" s="27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</row>
    <row r="592" spans="1:109">
      <c r="A592" s="27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</row>
    <row r="593" spans="1:109">
      <c r="A593" s="27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</row>
    <row r="594" spans="1:109">
      <c r="A594" s="27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</row>
    <row r="595" spans="1:109">
      <c r="A595" s="27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</row>
    <row r="596" spans="1:109">
      <c r="A596" s="27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</row>
    <row r="597" spans="1:109">
      <c r="A597" s="27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</row>
    <row r="598" spans="1:109">
      <c r="A598" s="27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</row>
    <row r="599" spans="1:109">
      <c r="A599" s="27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</row>
    <row r="600" spans="1:109">
      <c r="A600" s="27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</row>
    <row r="601" spans="1:109">
      <c r="A601" s="27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</row>
    <row r="602" spans="1:109">
      <c r="A602" s="27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</row>
    <row r="603" spans="1:109">
      <c r="A603" s="27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</row>
    <row r="604" spans="1:109">
      <c r="A604" s="27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</row>
    <row r="605" spans="1:109">
      <c r="A605" s="27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</row>
    <row r="606" spans="1:109">
      <c r="A606" s="27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</row>
    <row r="607" spans="1:109">
      <c r="A607" s="27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</row>
    <row r="608" spans="1:109">
      <c r="A608" s="27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</row>
    <row r="609" spans="1:109">
      <c r="A609" s="27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</row>
    <row r="610" spans="1:109">
      <c r="A610" s="27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</row>
    <row r="611" spans="1:109">
      <c r="A611" s="27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</row>
    <row r="612" spans="1:109">
      <c r="A612" s="27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</row>
    <row r="613" spans="1:109">
      <c r="A613" s="27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</row>
    <row r="614" spans="1:109">
      <c r="A614" s="27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</row>
    <row r="615" spans="1:109">
      <c r="A615" s="27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</row>
    <row r="616" spans="1:109">
      <c r="A616" s="27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</row>
    <row r="617" spans="1:109">
      <c r="A617" s="27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</row>
    <row r="618" spans="1:109">
      <c r="A618" s="27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</row>
    <row r="619" spans="1:109">
      <c r="A619" s="27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</row>
    <row r="620" spans="1:109">
      <c r="A620" s="27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</row>
    <row r="621" spans="1:109">
      <c r="A621" s="27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</row>
    <row r="622" spans="1:109">
      <c r="A622" s="27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</row>
    <row r="623" spans="1:109">
      <c r="A623" s="27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</row>
    <row r="624" spans="1:109">
      <c r="A624" s="27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</row>
    <row r="625" spans="1:109">
      <c r="A625" s="27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</row>
    <row r="626" spans="1:109">
      <c r="A626" s="27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</row>
    <row r="627" spans="1:109">
      <c r="A627" s="27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</row>
    <row r="628" spans="1:109">
      <c r="A628" s="27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</row>
    <row r="629" spans="1:109">
      <c r="A629" s="27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</row>
    <row r="630" spans="1:109">
      <c r="A630" s="27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</row>
    <row r="631" spans="1:109">
      <c r="A631" s="27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</row>
    <row r="632" spans="1:109">
      <c r="A632" s="27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</row>
    <row r="633" spans="1:109">
      <c r="A633" s="27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</row>
    <row r="634" spans="1:109">
      <c r="A634" s="27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</row>
    <row r="635" spans="1:109">
      <c r="A635" s="27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</row>
    <row r="636" spans="1:109">
      <c r="A636" s="27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</row>
    <row r="637" spans="1:109">
      <c r="A637" s="27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</row>
    <row r="638" spans="1:109">
      <c r="A638" s="27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</row>
    <row r="639" spans="1:109">
      <c r="A639" s="27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</row>
    <row r="640" spans="1:109">
      <c r="A640" s="27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</row>
    <row r="641" spans="1:109">
      <c r="A641" s="27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</row>
    <row r="642" spans="1:109">
      <c r="A642" s="27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</row>
    <row r="643" spans="1:109">
      <c r="A643" s="27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</row>
    <row r="644" spans="1:109">
      <c r="A644" s="27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</row>
    <row r="645" spans="1:109">
      <c r="A645" s="27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</row>
    <row r="646" spans="1:109">
      <c r="A646" s="27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</row>
    <row r="647" spans="1:109">
      <c r="A647" s="27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</row>
    <row r="648" spans="1:109">
      <c r="A648" s="27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</row>
    <row r="649" spans="1:109">
      <c r="A649" s="27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</row>
    <row r="650" spans="1:109">
      <c r="A650" s="27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</row>
    <row r="651" spans="1:109">
      <c r="A651" s="27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</row>
    <row r="652" spans="1:109">
      <c r="A652" s="27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</row>
    <row r="653" spans="1:109">
      <c r="A653" s="27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</row>
    <row r="654" spans="1:109">
      <c r="A654" s="27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</row>
    <row r="655" spans="1:109">
      <c r="A655" s="27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</row>
    <row r="656" spans="1:109">
      <c r="A656" s="27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</row>
    <row r="657" spans="1:109">
      <c r="A657" s="27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</row>
    <row r="658" spans="1:109">
      <c r="A658" s="27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</row>
    <row r="659" spans="1:109">
      <c r="A659" s="27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</row>
    <row r="660" spans="1:109">
      <c r="A660" s="27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</row>
    <row r="661" spans="1:109">
      <c r="A661" s="27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</row>
    <row r="662" spans="1:109">
      <c r="A662" s="27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</row>
    <row r="663" spans="1:109">
      <c r="A663" s="27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</row>
    <row r="664" spans="1:109">
      <c r="A664" s="27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</row>
    <row r="665" spans="1:109">
      <c r="A665" s="27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</row>
    <row r="666" spans="1:109">
      <c r="A666" s="27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</row>
    <row r="667" spans="1:109">
      <c r="A667" s="27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</row>
    <row r="668" spans="1:109">
      <c r="A668" s="27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</row>
    <row r="669" spans="1:109">
      <c r="A669" s="27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</row>
    <row r="670" spans="1:109">
      <c r="A670" s="27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</row>
    <row r="671" spans="1:109">
      <c r="A671" s="27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</row>
    <row r="672" spans="1:109">
      <c r="A672" s="27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</row>
    <row r="673" spans="1:109">
      <c r="A673" s="27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</row>
    <row r="674" spans="1:109">
      <c r="A674" s="27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</row>
    <row r="675" spans="1:109">
      <c r="A675" s="27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</row>
    <row r="676" spans="1:109">
      <c r="A676" s="27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</row>
    <row r="677" spans="1:109">
      <c r="A677" s="27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</row>
    <row r="678" spans="1:109">
      <c r="A678" s="27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</row>
    <row r="679" spans="1:109">
      <c r="A679" s="27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</row>
    <row r="680" spans="1:109">
      <c r="A680" s="27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</row>
    <row r="681" spans="1:109">
      <c r="A681" s="27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</row>
    <row r="682" spans="1:109">
      <c r="A682" s="27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</row>
    <row r="683" spans="1:109">
      <c r="A683" s="27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</row>
    <row r="684" spans="1:109">
      <c r="A684" s="27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</row>
    <row r="685" spans="1:109">
      <c r="A685" s="27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</row>
    <row r="686" spans="1:109">
      <c r="A686" s="27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</row>
    <row r="687" spans="1:109">
      <c r="A687" s="27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</row>
    <row r="688" spans="1:109">
      <c r="A688" s="27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</row>
    <row r="689" spans="1:109">
      <c r="A689" s="27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</row>
    <row r="690" spans="1:109">
      <c r="A690" s="27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</row>
    <row r="691" spans="1:109">
      <c r="A691" s="27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</row>
    <row r="692" spans="1:109">
      <c r="A692" s="27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</row>
    <row r="693" spans="1:109">
      <c r="A693" s="27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</row>
    <row r="694" spans="1:109">
      <c r="A694" s="27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</row>
    <row r="695" spans="1:109">
      <c r="A695" s="27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</row>
    <row r="696" spans="1:109">
      <c r="A696" s="27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</row>
    <row r="697" spans="1:109">
      <c r="A697" s="27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</row>
    <row r="698" spans="1:109">
      <c r="A698" s="27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</row>
    <row r="699" spans="1:109">
      <c r="A699" s="27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</row>
    <row r="700" spans="1:109">
      <c r="A700" s="27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</row>
    <row r="701" spans="1:109">
      <c r="A701" s="27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</row>
    <row r="702" spans="1:109">
      <c r="A702" s="27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</row>
    <row r="703" spans="1:109">
      <c r="A703" s="27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</row>
    <row r="704" spans="1:109">
      <c r="A704" s="27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</row>
    <row r="705" spans="1:109">
      <c r="A705" s="27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</row>
    <row r="706" spans="1:109">
      <c r="A706" s="27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</row>
    <row r="707" spans="1:109">
      <c r="A707" s="27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</row>
    <row r="708" spans="1:109">
      <c r="A708" s="27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</row>
    <row r="709" spans="1:109">
      <c r="A709" s="27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</row>
    <row r="710" spans="1:109">
      <c r="A710" s="27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</row>
    <row r="711" spans="1:109">
      <c r="A711" s="27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</row>
    <row r="712" spans="1:109">
      <c r="A712" s="27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</row>
    <row r="713" spans="1:109">
      <c r="A713" s="27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</row>
    <row r="714" spans="1:109">
      <c r="A714" s="27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</row>
    <row r="715" spans="1:109">
      <c r="A715" s="27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</row>
    <row r="716" spans="1:109">
      <c r="A716" s="27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</row>
    <row r="717" spans="1:109">
      <c r="A717" s="27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</row>
    <row r="718" spans="1:109">
      <c r="A718" s="27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</row>
    <row r="719" spans="1:109">
      <c r="A719" s="27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</row>
    <row r="720" spans="1:109">
      <c r="A720" s="27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</row>
    <row r="721" spans="1:109">
      <c r="A721" s="27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</row>
    <row r="722" spans="1:109">
      <c r="A722" s="27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</row>
    <row r="723" spans="1:109">
      <c r="A723" s="27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</row>
    <row r="724" spans="1:109">
      <c r="A724" s="27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</row>
    <row r="725" spans="1:109">
      <c r="A725" s="27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</row>
    <row r="726" spans="1:109">
      <c r="A726" s="27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</row>
    <row r="727" spans="1:109">
      <c r="A727" s="27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</row>
    <row r="728" spans="1:109">
      <c r="A728" s="2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</row>
    <row r="729" spans="1:109">
      <c r="A729" s="2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</row>
    <row r="730" spans="1:109">
      <c r="A730" s="2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</row>
    <row r="731" spans="1:109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</row>
    <row r="732" spans="1:109">
      <c r="A732" s="2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</row>
    <row r="733" spans="1:109">
      <c r="A733" s="2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</row>
    <row r="734" spans="1:109">
      <c r="A734" s="2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</row>
    <row r="735" spans="1:109">
      <c r="A735" s="2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</row>
    <row r="736" spans="1:109">
      <c r="A736" s="2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</row>
    <row r="737" spans="1:109">
      <c r="A737" s="2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</row>
    <row r="738" spans="1:109">
      <c r="A738" s="2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</row>
    <row r="739" spans="1:109">
      <c r="A739" s="2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</row>
    <row r="740" spans="1:109">
      <c r="A740" s="2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</row>
    <row r="741" spans="1:109">
      <c r="A741" s="2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</row>
    <row r="742" spans="1:109">
      <c r="A742" s="2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</row>
    <row r="743" spans="1:109">
      <c r="A743" s="2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</row>
    <row r="744" spans="1:109">
      <c r="A744" s="2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</row>
    <row r="745" spans="1:109">
      <c r="A745" s="2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</row>
    <row r="746" spans="1:109">
      <c r="A746" s="2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</row>
    <row r="747" spans="1:109">
      <c r="A747" s="2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</row>
    <row r="748" spans="1:109">
      <c r="A748" s="2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</row>
    <row r="749" spans="1:109">
      <c r="A749" s="2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</row>
    <row r="750" spans="1:109">
      <c r="A750" s="27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</row>
    <row r="751" spans="1:109">
      <c r="A751" s="27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</row>
    <row r="752" spans="1:109">
      <c r="A752" s="27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</row>
    <row r="753" spans="1:109">
      <c r="A753" s="27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</row>
    <row r="754" spans="1:109">
      <c r="A754" s="27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</row>
    <row r="755" spans="1:109">
      <c r="A755" s="27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</row>
    <row r="756" spans="1:109">
      <c r="A756" s="27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</row>
    <row r="757" spans="1:109">
      <c r="A757" s="27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</row>
    <row r="758" spans="1:109">
      <c r="A758" s="27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</row>
    <row r="759" spans="1:109">
      <c r="A759" s="27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</row>
    <row r="760" spans="1:109">
      <c r="A760" s="27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</row>
    <row r="761" spans="1:109">
      <c r="A761" s="27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</row>
    <row r="762" spans="1:109">
      <c r="A762" s="27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</row>
    <row r="763" spans="1:109">
      <c r="A763" s="27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</row>
    <row r="764" spans="1:109">
      <c r="A764" s="27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</row>
    <row r="765" spans="1:109">
      <c r="A765" s="27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</row>
    <row r="766" spans="1:109">
      <c r="A766" s="27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</row>
    <row r="767" spans="1:109">
      <c r="A767" s="27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</row>
    <row r="768" spans="1:109">
      <c r="A768" s="27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</row>
    <row r="769" spans="1:109">
      <c r="A769" s="27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</row>
    <row r="770" spans="1:109">
      <c r="A770" s="27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</row>
    <row r="771" spans="1:109">
      <c r="A771" s="27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</row>
    <row r="772" spans="1:109">
      <c r="A772" s="27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</row>
    <row r="773" spans="1:109">
      <c r="A773" s="27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</row>
    <row r="774" spans="1:109">
      <c r="A774" s="27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</row>
    <row r="775" spans="1:109">
      <c r="A775" s="27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</row>
    <row r="776" spans="1:109">
      <c r="A776" s="27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</row>
    <row r="777" spans="1:109">
      <c r="A777" s="27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</row>
    <row r="778" spans="1:109">
      <c r="A778" s="27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</row>
    <row r="779" spans="1:109">
      <c r="A779" s="27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</row>
    <row r="780" spans="1:109">
      <c r="A780" s="27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</row>
    <row r="781" spans="1:109">
      <c r="A781" s="27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</row>
    <row r="782" spans="1:109">
      <c r="A782" s="27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</row>
    <row r="783" spans="1:109">
      <c r="A783" s="27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</row>
    <row r="784" spans="1:109">
      <c r="A784" s="27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</row>
    <row r="785" spans="1:109">
      <c r="A785" s="27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</row>
    <row r="786" spans="1:109">
      <c r="A786" s="27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</row>
    <row r="787" spans="1:109">
      <c r="A787" s="27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</row>
    <row r="788" spans="1:109">
      <c r="A788" s="27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</row>
    <row r="789" spans="1:109">
      <c r="A789" s="27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</row>
    <row r="790" spans="1:109">
      <c r="A790" s="27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</row>
    <row r="791" spans="1:109">
      <c r="A791" s="27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</row>
    <row r="792" spans="1:109">
      <c r="A792" s="27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</row>
    <row r="793" spans="1:109">
      <c r="A793" s="27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</row>
    <row r="794" spans="1:109">
      <c r="A794" s="27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</row>
    <row r="795" spans="1:109">
      <c r="A795" s="27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</row>
    <row r="796" spans="1:109">
      <c r="A796" s="27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</row>
    <row r="797" spans="1:109">
      <c r="A797" s="27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</row>
    <row r="798" spans="1:109">
      <c r="A798" s="27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</row>
    <row r="799" spans="1:109">
      <c r="A799" s="27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</row>
    <row r="800" spans="1:109">
      <c r="A800" s="27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</row>
    <row r="801" spans="1:109">
      <c r="A801" s="27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</row>
    <row r="802" spans="1:109">
      <c r="A802" s="27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</row>
    <row r="803" spans="1:109">
      <c r="A803" s="27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</row>
    <row r="804" spans="1:109">
      <c r="A804" s="27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</row>
    <row r="805" spans="1:109">
      <c r="A805" s="27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</row>
    <row r="806" spans="1:109">
      <c r="A806" s="27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</row>
    <row r="807" spans="1:109">
      <c r="A807" s="27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</row>
    <row r="808" spans="1:109">
      <c r="A808" s="27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</row>
    <row r="809" spans="1:109">
      <c r="A809" s="27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</row>
    <row r="810" spans="1:109">
      <c r="A810" s="27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</row>
    <row r="811" spans="1:109">
      <c r="A811" s="27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</row>
    <row r="812" spans="1:109">
      <c r="A812" s="27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</row>
    <row r="813" spans="1:109">
      <c r="A813" s="27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</row>
    <row r="814" spans="1:109">
      <c r="A814" s="27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</row>
    <row r="815" spans="1:109">
      <c r="A815" s="27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</row>
    <row r="816" spans="1:109">
      <c r="A816" s="27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</row>
    <row r="817" spans="1:109">
      <c r="A817" s="27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</row>
    <row r="818" spans="1:109">
      <c r="A818" s="27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</row>
    <row r="819" spans="1:109">
      <c r="A819" s="27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</row>
    <row r="820" spans="1:109">
      <c r="A820" s="27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</row>
    <row r="821" spans="1:109">
      <c r="A821" s="27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</row>
    <row r="822" spans="1:109">
      <c r="A822" s="27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</row>
    <row r="823" spans="1:109">
      <c r="A823" s="27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</row>
    <row r="824" spans="1:109">
      <c r="A824" s="27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</row>
    <row r="825" spans="1:109">
      <c r="A825" s="27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</row>
    <row r="826" spans="1:109">
      <c r="A826" s="27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</row>
    <row r="827" spans="1:109">
      <c r="A827" s="27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</row>
    <row r="828" spans="1:109">
      <c r="A828" s="27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</row>
    <row r="829" spans="1:109">
      <c r="A829" s="27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</row>
    <row r="830" spans="1:109">
      <c r="A830" s="27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</row>
    <row r="831" spans="1:109">
      <c r="A831" s="27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</row>
    <row r="832" spans="1:109">
      <c r="A832" s="27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</row>
    <row r="833" spans="1:109">
      <c r="A833" s="27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</row>
    <row r="834" spans="1:109">
      <c r="A834" s="27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</row>
    <row r="835" spans="1:109">
      <c r="A835" s="27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</row>
    <row r="836" spans="1:109">
      <c r="A836" s="27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</row>
    <row r="837" spans="1:109">
      <c r="A837" s="27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</row>
    <row r="838" spans="1:109">
      <c r="A838" s="27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</row>
    <row r="839" spans="1:109">
      <c r="A839" s="27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</row>
    <row r="840" spans="1:109">
      <c r="A840" s="27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</row>
    <row r="841" spans="1:109">
      <c r="A841" s="27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</row>
    <row r="842" spans="1:109">
      <c r="A842" s="27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</row>
    <row r="843" spans="1:109">
      <c r="A843" s="27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</row>
    <row r="844" spans="1:109">
      <c r="A844" s="27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</row>
    <row r="845" spans="1:109">
      <c r="A845" s="27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</row>
    <row r="846" spans="1:109">
      <c r="A846" s="27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</row>
    <row r="847" spans="1:109">
      <c r="A847" s="27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</row>
    <row r="848" spans="1:109">
      <c r="A848" s="27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</row>
    <row r="849" spans="1:109">
      <c r="A849" s="27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</row>
    <row r="850" spans="1:109">
      <c r="A850" s="27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</row>
    <row r="851" spans="1:109">
      <c r="A851" s="27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</row>
    <row r="852" spans="1:109">
      <c r="A852" s="27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</row>
    <row r="853" spans="1:109">
      <c r="A853" s="27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</row>
    <row r="854" spans="1:109">
      <c r="A854" s="27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</row>
    <row r="855" spans="1:109">
      <c r="A855" s="27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</row>
    <row r="856" spans="1:109">
      <c r="A856" s="27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</row>
    <row r="857" spans="1:109">
      <c r="A857" s="27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</row>
    <row r="858" spans="1:109">
      <c r="A858" s="27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</row>
    <row r="859" spans="1:109">
      <c r="A859" s="27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</row>
    <row r="860" spans="1:109">
      <c r="A860" s="27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</row>
    <row r="861" spans="1:109">
      <c r="A861" s="27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</row>
    <row r="862" spans="1:109">
      <c r="A862" s="27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</row>
    <row r="863" spans="1:109">
      <c r="A863" s="27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</row>
    <row r="864" spans="1:109">
      <c r="A864" s="27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</row>
    <row r="865" spans="1:109">
      <c r="A865" s="27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</row>
    <row r="866" spans="1:109">
      <c r="A866" s="27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</row>
    <row r="867" spans="1:109">
      <c r="A867" s="27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</row>
    <row r="868" spans="1:109">
      <c r="A868" s="27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</row>
    <row r="869" spans="1:109">
      <c r="A869" s="27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</row>
    <row r="870" spans="1:109">
      <c r="A870" s="27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</row>
    <row r="871" spans="1:109">
      <c r="A871" s="27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</row>
    <row r="872" spans="1:109">
      <c r="A872" s="27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</row>
    <row r="873" spans="1:109">
      <c r="A873" s="27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</row>
    <row r="874" spans="1:109">
      <c r="A874" s="27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</row>
    <row r="875" spans="1:109">
      <c r="A875" s="27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</row>
    <row r="876" spans="1:109">
      <c r="A876" s="27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</row>
    <row r="877" spans="1:109">
      <c r="A877" s="27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</row>
    <row r="878" spans="1:109">
      <c r="A878" s="27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</row>
    <row r="879" spans="1:109">
      <c r="A879" s="27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</row>
    <row r="880" spans="1:109">
      <c r="A880" s="27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</row>
    <row r="881" spans="1:109">
      <c r="A881" s="27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</row>
    <row r="882" spans="1:109">
      <c r="A882" s="27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</row>
    <row r="883" spans="1:109">
      <c r="A883" s="27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</row>
    <row r="884" spans="1:109">
      <c r="A884" s="27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</row>
    <row r="885" spans="1:109">
      <c r="A885" s="27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</row>
    <row r="886" spans="1:109">
      <c r="A886" s="27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</row>
    <row r="887" spans="1:109">
      <c r="A887" s="27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</row>
    <row r="888" spans="1:109">
      <c r="A888" s="27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</row>
    <row r="889" spans="1:109">
      <c r="A889" s="27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</row>
    <row r="890" spans="1:109">
      <c r="A890" s="27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</row>
    <row r="891" spans="1:109">
      <c r="A891" s="27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</row>
    <row r="892" spans="1:109">
      <c r="A892" s="27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</row>
    <row r="893" spans="1:109">
      <c r="A893" s="27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</row>
    <row r="894" spans="1:109">
      <c r="A894" s="27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</row>
    <row r="895" spans="1:109">
      <c r="A895" s="27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</row>
    <row r="896" spans="1:109">
      <c r="A896" s="27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</row>
    <row r="897" spans="1:109">
      <c r="A897" s="27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</row>
    <row r="898" spans="1:109">
      <c r="A898" s="27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</row>
    <row r="899" spans="1:109">
      <c r="A899" s="27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</row>
    <row r="900" spans="1:109">
      <c r="A900" s="27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</row>
    <row r="901" spans="1:109">
      <c r="A901" s="27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</row>
    <row r="902" spans="1:109">
      <c r="A902" s="27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</row>
    <row r="903" spans="1:109">
      <c r="A903" s="27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</row>
    <row r="904" spans="1:109">
      <c r="A904" s="27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</row>
    <row r="905" spans="1:109">
      <c r="A905" s="27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</row>
    <row r="906" spans="1:109">
      <c r="A906" s="27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</row>
    <row r="907" spans="1:109">
      <c r="A907" s="27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</row>
    <row r="908" spans="1:109">
      <c r="A908" s="27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</row>
    <row r="909" spans="1:109">
      <c r="A909" s="27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</row>
    <row r="910" spans="1:109">
      <c r="A910" s="27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</row>
    <row r="911" spans="1:109">
      <c r="A911" s="27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</row>
    <row r="912" spans="1:109">
      <c r="A912" s="27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</row>
    <row r="913" spans="1:109">
      <c r="A913" s="27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</row>
    <row r="914" spans="1:109">
      <c r="A914" s="27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</row>
    <row r="915" spans="1:109">
      <c r="A915" s="27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</row>
    <row r="916" spans="1:109">
      <c r="A916" s="27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</row>
    <row r="917" spans="1:109">
      <c r="A917" s="27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</row>
    <row r="918" spans="1:109">
      <c r="A918" s="27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</row>
    <row r="919" spans="1:109">
      <c r="A919" s="27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</row>
    <row r="920" spans="1:109">
      <c r="A920" s="27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</row>
    <row r="921" spans="1:109">
      <c r="A921" s="27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</row>
    <row r="922" spans="1:109">
      <c r="A922" s="27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</row>
    <row r="923" spans="1:109">
      <c r="A923" s="27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</row>
    <row r="924" spans="1:109">
      <c r="A924" s="27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</row>
    <row r="925" spans="1:109">
      <c r="A925" s="27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</row>
    <row r="926" spans="1:109">
      <c r="A926" s="27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</row>
    <row r="927" spans="1:109">
      <c r="A927" s="27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</row>
    <row r="928" spans="1:109">
      <c r="A928" s="27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</row>
    <row r="929" spans="1:109">
      <c r="A929" s="27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</row>
    <row r="930" spans="1:109">
      <c r="A930" s="27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</row>
    <row r="931" spans="1:109">
      <c r="A931" s="27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</row>
    <row r="932" spans="1:109">
      <c r="A932" s="27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</row>
    <row r="933" spans="1:109">
      <c r="A933" s="27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</row>
    <row r="934" spans="1:109">
      <c r="A934" s="27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</row>
    <row r="935" spans="1:109">
      <c r="A935" s="27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</row>
    <row r="936" spans="1:109">
      <c r="A936" s="27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</row>
    <row r="937" spans="1:109">
      <c r="A937" s="27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</row>
    <row r="938" spans="1:109">
      <c r="A938" s="27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</row>
    <row r="939" spans="1:109">
      <c r="A939" s="27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</row>
    <row r="940" spans="1:109">
      <c r="A940" s="27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</row>
    <row r="941" spans="1:109">
      <c r="A941" s="27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</row>
    <row r="942" spans="1:109">
      <c r="A942" s="27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</row>
    <row r="943" spans="1:109">
      <c r="A943" s="27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</row>
    <row r="944" spans="1:109">
      <c r="A944" s="27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</row>
    <row r="945" spans="1:109">
      <c r="A945" s="27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</row>
    <row r="946" spans="1:109">
      <c r="A946" s="27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</row>
    <row r="947" spans="1:109">
      <c r="A947" s="27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</row>
    <row r="948" spans="1:109">
      <c r="A948" s="27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</row>
    <row r="949" spans="1:109">
      <c r="A949" s="27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</row>
    <row r="950" spans="1:109">
      <c r="A950" s="27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</row>
    <row r="951" spans="1:109">
      <c r="A951" s="27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</row>
    <row r="952" spans="1:109">
      <c r="A952" s="27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</row>
    <row r="953" spans="1:109">
      <c r="A953" s="27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</row>
    <row r="954" spans="1:109">
      <c r="A954" s="27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</row>
    <row r="955" spans="1:109">
      <c r="A955" s="27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</row>
    <row r="956" spans="1:109">
      <c r="A956" s="27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</row>
    <row r="957" spans="1:109">
      <c r="A957" s="27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</row>
    <row r="958" spans="1:109">
      <c r="A958" s="27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</row>
    <row r="959" spans="1:109">
      <c r="A959" s="27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</row>
    <row r="960" spans="1:109">
      <c r="A960" s="27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</row>
    <row r="961" spans="1:109">
      <c r="A961" s="27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</row>
    <row r="962" spans="1:109">
      <c r="A962" s="27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</row>
    <row r="963" spans="1:109">
      <c r="A963" s="27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</row>
    <row r="964" spans="1:109">
      <c r="A964" s="27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</row>
    <row r="965" spans="1:109">
      <c r="A965" s="27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</row>
    <row r="966" spans="1:109">
      <c r="A966" s="27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</row>
    <row r="967" spans="1:109">
      <c r="A967" s="27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</row>
    <row r="968" spans="1:109">
      <c r="A968" s="27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</row>
    <row r="969" spans="1:109">
      <c r="A969" s="27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</row>
    <row r="970" spans="1:109">
      <c r="A970" s="27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</row>
    <row r="971" spans="1:109">
      <c r="A971" s="27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</row>
    <row r="972" spans="1:109">
      <c r="A972" s="27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</row>
    <row r="973" spans="1:109">
      <c r="A973" s="27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</row>
    <row r="974" spans="1:109">
      <c r="A974" s="27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</row>
    <row r="975" spans="1:109">
      <c r="A975" s="27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</row>
    <row r="976" spans="1:109">
      <c r="A976" s="27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</row>
    <row r="977" spans="1:109">
      <c r="A977" s="27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</row>
    <row r="978" spans="1:109">
      <c r="A978" s="27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</row>
    <row r="979" spans="1:109">
      <c r="A979" s="27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</row>
    <row r="980" spans="1:109">
      <c r="A980" s="27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</row>
    <row r="981" spans="1:109">
      <c r="A981" s="27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</row>
    <row r="982" spans="1:109">
      <c r="A982" s="27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</row>
    <row r="983" spans="1:109">
      <c r="A983" s="27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</row>
    <row r="984" spans="1:109">
      <c r="A984" s="27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</row>
    <row r="985" spans="1:109">
      <c r="A985" s="27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</row>
    <row r="986" spans="1:109">
      <c r="A986" s="27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</row>
    <row r="987" spans="1:109">
      <c r="A987" s="27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</row>
    <row r="988" spans="1:109">
      <c r="A988" s="27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</row>
    <row r="989" spans="1:109">
      <c r="A989" s="27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</row>
    <row r="990" spans="1:109">
      <c r="A990" s="27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</row>
    <row r="991" spans="1:109">
      <c r="A991" s="27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</row>
    <row r="992" spans="1:109">
      <c r="A992" s="27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</row>
    <row r="993" spans="1:109">
      <c r="A993" s="27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</row>
    <row r="994" spans="1:109">
      <c r="A994" s="27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</row>
    <row r="995" spans="1:109">
      <c r="A995" s="27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</row>
    <row r="996" spans="1:109">
      <c r="A996" s="27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</row>
    <row r="997" spans="1:109">
      <c r="A997" s="27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</row>
    <row r="998" spans="1:109">
      <c r="A998" s="27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</row>
    <row r="999" spans="1:109">
      <c r="A999" s="27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</row>
    <row r="1000" spans="1:109">
      <c r="A1000" s="27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Приложение КОД КО</vt:lpstr>
      <vt:lpstr>Справочник валидация</vt:lpstr>
      <vt:lpstr>Диаграмма1</vt:lpstr>
      <vt:lpstr>Групповая</vt:lpstr>
      <vt:lpstr>Двухдневный</vt:lpstr>
      <vt:lpstr>Индивидуальная</vt:lpstr>
      <vt:lpstr>Однодневный</vt:lpstr>
      <vt:lpstr>Парная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Windows User</cp:lastModifiedBy>
  <cp:revision>1</cp:revision>
  <dcterms:created xsi:type="dcterms:W3CDTF">2025-03-07T18:26:29Z</dcterms:created>
  <dcterms:modified xsi:type="dcterms:W3CDTF">2025-03-07T18:47:45Z</dcterms:modified>
  <dc:language>ru-RU</dc:language>
</cp:coreProperties>
</file>