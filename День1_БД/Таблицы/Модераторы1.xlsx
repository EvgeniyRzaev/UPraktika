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Лист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3" i="1" l="1"/>
  <c r="AF4" i="1"/>
  <c r="AF5" i="1"/>
  <c r="AF6" i="1"/>
  <c r="AF7" i="1"/>
  <c r="AF8" i="1"/>
  <c r="AF9" i="1"/>
  <c r="AF10" i="1"/>
  <c r="AF11" i="1"/>
  <c r="AF12" i="1"/>
  <c r="AF13" i="1"/>
  <c r="AF14" i="1"/>
  <c r="AF15" i="1"/>
  <c r="AF16" i="1"/>
  <c r="AF17" i="1"/>
  <c r="AF18" i="1"/>
  <c r="AF19" i="1"/>
  <c r="AF20" i="1"/>
  <c r="AF21" i="1"/>
  <c r="AF22" i="1"/>
  <c r="AF2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" i="1"/>
</calcChain>
</file>

<file path=xl/sharedStrings.xml><?xml version="1.0" encoding="utf-8"?>
<sst xmlns="http://schemas.openxmlformats.org/spreadsheetml/2006/main" count="241" uniqueCount="166">
  <si>
    <t>пол</t>
  </si>
  <si>
    <t>почта</t>
  </si>
  <si>
    <t>дата рождения</t>
  </si>
  <si>
    <t>страна</t>
  </si>
  <si>
    <t>телефон</t>
  </si>
  <si>
    <t>направление</t>
  </si>
  <si>
    <t>мероприятие</t>
  </si>
  <si>
    <t>пароль</t>
  </si>
  <si>
    <t>фото</t>
  </si>
  <si>
    <t>мужской</t>
  </si>
  <si>
    <t>i8brhz2gyx4j@gmail.com</t>
  </si>
  <si>
    <t>7(416)870-22-00</t>
  </si>
  <si>
    <t>ИТ</t>
  </si>
  <si>
    <t>IT в бизнесе</t>
  </si>
  <si>
    <t>4VUmGj4t36</t>
  </si>
  <si>
    <t>foto9.jpg</t>
  </si>
  <si>
    <t>dic8qah9zbot@mail.com</t>
  </si>
  <si>
    <t>7(278)138-47-92</t>
  </si>
  <si>
    <t>b9zAs99XD3</t>
  </si>
  <si>
    <t>foto10.jpg</t>
  </si>
  <si>
    <t>женский</t>
  </si>
  <si>
    <t>o3gmly907wcn@mail.com</t>
  </si>
  <si>
    <t>7(093)787-84-57</t>
  </si>
  <si>
    <t>Биг Дата</t>
  </si>
  <si>
    <t>Разработка приложений</t>
  </si>
  <si>
    <t>n6cx69AM4T</t>
  </si>
  <si>
    <t>foto8.jpg</t>
  </si>
  <si>
    <t>qz901omryb7j@mail.com</t>
  </si>
  <si>
    <t>7(699)704-90-18</t>
  </si>
  <si>
    <t>Дизайн</t>
  </si>
  <si>
    <t>IT-инфраструктура</t>
  </si>
  <si>
    <t>P8c83u5fUR</t>
  </si>
  <si>
    <t>foto11.jpg</t>
  </si>
  <si>
    <t>m93nsaih4kl8@yahoo.com</t>
  </si>
  <si>
    <t>7(312)920-22-96</t>
  </si>
  <si>
    <t>f7S5zxH58B</t>
  </si>
  <si>
    <t>foto12.jpg</t>
  </si>
  <si>
    <t>qgb9ea8wnl50@mail.com</t>
  </si>
  <si>
    <t>7(714)693-32-92</t>
  </si>
  <si>
    <t>Аналитика</t>
  </si>
  <si>
    <t>Стартапы</t>
  </si>
  <si>
    <t>c2vGi532VN</t>
  </si>
  <si>
    <t>foto13.jpg</t>
  </si>
  <si>
    <t>rzsj6wqd42vt@yahoo.com</t>
  </si>
  <si>
    <t>7(605)246-65-83</t>
  </si>
  <si>
    <t>8jZ5LL2a2n</t>
  </si>
  <si>
    <t>foto14.jpg</t>
  </si>
  <si>
    <t>wg9h3ixavl25@tutanota.com</t>
  </si>
  <si>
    <t>7(037)333-08-17</t>
  </si>
  <si>
    <t>Информационная безопасность</t>
  </si>
  <si>
    <t>D44jjR45gH</t>
  </si>
  <si>
    <t>foto16.jpg</t>
  </si>
  <si>
    <t>2nib6c5vl18k@outlook.com</t>
  </si>
  <si>
    <t>7(594)615-77-80</t>
  </si>
  <si>
    <t>2c73vxTLP9</t>
  </si>
  <si>
    <t>foto17.jpg</t>
  </si>
  <si>
    <t>wbs3znh5uxfr@tutanota.com</t>
  </si>
  <si>
    <t>7(596)301-43-97</t>
  </si>
  <si>
    <t>69S6fMzeM2</t>
  </si>
  <si>
    <t>foto18.jpg</t>
  </si>
  <si>
    <t>yl9hxt5dzajv@tutanota.com</t>
  </si>
  <si>
    <t>7(181)588-68-39</t>
  </si>
  <si>
    <t>j7TMm92s9X</t>
  </si>
  <si>
    <t>foto19.jpg</t>
  </si>
  <si>
    <t>4rqfa385p9gz@mail.com</t>
  </si>
  <si>
    <t>7(442)333-89-12</t>
  </si>
  <si>
    <t>XU5b8N42th</t>
  </si>
  <si>
    <t>foto20.jpg</t>
  </si>
  <si>
    <t>ox7k5w6l04mi@gmail.com</t>
  </si>
  <si>
    <t>7(377)251-56-96</t>
  </si>
  <si>
    <t>6R82k4nFnX</t>
  </si>
  <si>
    <t>foto21.jpg</t>
  </si>
  <si>
    <t>a8071jvd2m6z@tutanota.com</t>
  </si>
  <si>
    <t>7(575)142-09-75</t>
  </si>
  <si>
    <t>eC445cE8Yd</t>
  </si>
  <si>
    <t>foto22.jpg</t>
  </si>
  <si>
    <t>qxel0og2ps4t@gmail.com</t>
  </si>
  <si>
    <t>7(979)385-40-57</t>
  </si>
  <si>
    <t>8T69Vef8Er</t>
  </si>
  <si>
    <t>foto23.jpg</t>
  </si>
  <si>
    <t>ixut6e0cnd84@gmail.com</t>
  </si>
  <si>
    <t>7(901)002-16-80</t>
  </si>
  <si>
    <t>34nYAv56Cs</t>
  </si>
  <si>
    <t>foto24.jpg</t>
  </si>
  <si>
    <t>es06joah3pfu@gmail.com</t>
  </si>
  <si>
    <t>7(272)350-20-30</t>
  </si>
  <si>
    <t>ru6x7PT2V4</t>
  </si>
  <si>
    <t>foto25.jpg</t>
  </si>
  <si>
    <t>0kmd26jfi859@mail.com</t>
  </si>
  <si>
    <t>7(812)026-33-34</t>
  </si>
  <si>
    <t>a7pXZ78a2J</t>
  </si>
  <si>
    <t>foto26.jpg</t>
  </si>
  <si>
    <t>mn7bawsorg51@outlook.com</t>
  </si>
  <si>
    <t>7(550)677-95-09</t>
  </si>
  <si>
    <t>8uTv4L8Cg4</t>
  </si>
  <si>
    <t>foto27.jpg</t>
  </si>
  <si>
    <t>1os2bmtpg6nv@mail.com</t>
  </si>
  <si>
    <t>7(596)221-45-84</t>
  </si>
  <si>
    <t>6VM3r9jmS5</t>
  </si>
  <si>
    <t>foto28.jpg</t>
  </si>
  <si>
    <t>vbpjslo28w6d@mail.com</t>
  </si>
  <si>
    <t>7(588)448-48-41</t>
  </si>
  <si>
    <t>c6m4L2ZD9j</t>
  </si>
  <si>
    <t>foto29.jpg</t>
  </si>
  <si>
    <t>Покровский</t>
  </si>
  <si>
    <t>Роман</t>
  </si>
  <si>
    <t>Дмитриевич</t>
  </si>
  <si>
    <t>Чернышев</t>
  </si>
  <si>
    <t>Ярослав</t>
  </si>
  <si>
    <t>Андреевич</t>
  </si>
  <si>
    <t>Суворова</t>
  </si>
  <si>
    <t>Ева</t>
  </si>
  <si>
    <t>Алексеевна</t>
  </si>
  <si>
    <t>Лосева</t>
  </si>
  <si>
    <t>Аделина</t>
  </si>
  <si>
    <t>Георгиевна</t>
  </si>
  <si>
    <t>Марк</t>
  </si>
  <si>
    <t>Максимович</t>
  </si>
  <si>
    <t>Акимова</t>
  </si>
  <si>
    <t>София</t>
  </si>
  <si>
    <t>Александровна</t>
  </si>
  <si>
    <t>Майоров</t>
  </si>
  <si>
    <t>Александр</t>
  </si>
  <si>
    <t>Михайлович</t>
  </si>
  <si>
    <t>Прохорова</t>
  </si>
  <si>
    <t>Анна</t>
  </si>
  <si>
    <t>Фёдоровна</t>
  </si>
  <si>
    <t>Соловьев</t>
  </si>
  <si>
    <t>Иван</t>
  </si>
  <si>
    <t>Лебедева</t>
  </si>
  <si>
    <t>Виктория</t>
  </si>
  <si>
    <t>Марковна</t>
  </si>
  <si>
    <t>Шишкина</t>
  </si>
  <si>
    <t>Светлана</t>
  </si>
  <si>
    <t>Юдина</t>
  </si>
  <si>
    <t>Татьяна</t>
  </si>
  <si>
    <t>Максимовна</t>
  </si>
  <si>
    <t>Рябинин</t>
  </si>
  <si>
    <t>Григорий</t>
  </si>
  <si>
    <t>Матвеевич</t>
  </si>
  <si>
    <t>Тарасова</t>
  </si>
  <si>
    <t>Валерия</t>
  </si>
  <si>
    <t>Егоровна</t>
  </si>
  <si>
    <t>Алексеев</t>
  </si>
  <si>
    <t>Михаил</t>
  </si>
  <si>
    <t>Глебович</t>
  </si>
  <si>
    <t>Иванова</t>
  </si>
  <si>
    <t>Павловна</t>
  </si>
  <si>
    <t>Богданова</t>
  </si>
  <si>
    <t>Олеся</t>
  </si>
  <si>
    <t>Евгеньевна</t>
  </si>
  <si>
    <t>Иванов</t>
  </si>
  <si>
    <t>Фёдор</t>
  </si>
  <si>
    <t>Тимофеевич</t>
  </si>
  <si>
    <t>Кузнецов</t>
  </si>
  <si>
    <t>Семён</t>
  </si>
  <si>
    <t>Владиславович</t>
  </si>
  <si>
    <t>Шульгина</t>
  </si>
  <si>
    <t>Елизавета</t>
  </si>
  <si>
    <t>Денисовна</t>
  </si>
  <si>
    <t>Петрова</t>
  </si>
  <si>
    <t>Василиса</t>
  </si>
  <si>
    <t>Фамилия</t>
  </si>
  <si>
    <t>Имя</t>
  </si>
  <si>
    <t>Отчество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</si>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</sst>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\+\7&quot; &quot;\(#\)&quot; &quot;000\-00\-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1"/>
      <color rgb="FF212529"/>
      <name val="Calibri"/>
      <family val="2"/>
      <charset val="204"/>
      <scheme val="minor"/>
    </font>
    <font>
      <sz val="11"/>
      <color rgb="FF21212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164" fontId="3" fillId="0" borderId="0" xfId="0" applyNumberFormat="1" applyFont="1" applyAlignment="1">
      <alignment horizontal="center"/>
    </xf>
    <xf numFmtId="0" fontId="3" fillId="0" borderId="0" xfId="0" applyFont="1" applyAlignment="1"/>
    <xf numFmtId="14" fontId="3" fillId="0" borderId="0" xfId="0" applyNumberFormat="1" applyFont="1" applyAlignment="1"/>
    <xf numFmtId="164" fontId="3" fillId="0" borderId="0" xfId="0" applyNumberFormat="1" applyFont="1" applyAlignment="1"/>
    <xf numFmtId="14" fontId="5" fillId="0" borderId="0" xfId="0" applyNumberFormat="1" applyFont="1" applyAlignment="1"/>
    <xf numFmtId="0" fontId="4" fillId="0" borderId="0" xfId="0" applyFont="1" applyAlignment="1"/>
    <xf numFmtId="0" fontId="6" fillId="0" borderId="0" xfId="0" applyFont="1" applyAlignment="1">
      <alignment horizontal="left" wrapText="1"/>
    </xf>
    <xf numFmtId="0" fontId="2" fillId="0" borderId="0" xfId="0" applyFont="1" applyAlignment="1"/>
    <xf numFmtId="0" fontId="1" fillId="0" borderId="0" xfId="0" applyFont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22"/>
  <sheetViews>
    <sheetView tabSelected="1" zoomScale="70" zoomScaleNormal="70" workbookViewId="0">
      <selection activeCell="A2" sqref="A2:A22"/>
    </sheetView>
  </sheetViews>
  <sheetFormatPr defaultRowHeight="15" x14ac:dyDescent="0.25"/>
  <cols>
    <col min="1" max="1" width="4.140625" customWidth="1"/>
    <col min="2" max="2" width="17.28515625" customWidth="1"/>
    <col min="3" max="3" width="26.140625" bestFit="1" customWidth="1"/>
    <col min="4" max="4" width="14.28515625" bestFit="1" customWidth="1"/>
    <col min="5" max="5" width="6.7109375" bestFit="1" customWidth="1"/>
    <col min="6" max="6" width="14.5703125" bestFit="1" customWidth="1"/>
    <col min="7" max="7" width="24.85546875" customWidth="1"/>
    <col min="8" max="8" width="29.28515625" bestFit="1" customWidth="1"/>
    <col min="9" max="9" width="13.28515625" customWidth="1"/>
  </cols>
  <sheetData>
    <row r="1" spans="1:33" s="2" customFormat="1" x14ac:dyDescent="0.25">
      <c r="A1" s="9" t="s">
        <v>165</v>
      </c>
      <c r="B1" s="8" t="s">
        <v>162</v>
      </c>
      <c r="C1" s="8" t="s">
        <v>163</v>
      </c>
      <c r="D1" s="8" t="s">
        <v>164</v>
      </c>
      <c r="E1" s="2" t="s">
        <v>0</v>
      </c>
      <c r="F1" s="2" t="s">
        <v>1</v>
      </c>
      <c r="G1" s="3" t="s">
        <v>2</v>
      </c>
      <c r="H1" s="2" t="s">
        <v>3</v>
      </c>
      <c r="I1" s="4" t="s">
        <v>4</v>
      </c>
      <c r="J1" s="2" t="s">
        <v>5</v>
      </c>
      <c r="K1" s="2" t="s">
        <v>6</v>
      </c>
      <c r="L1" s="2" t="s">
        <v>7</v>
      </c>
      <c r="M1" s="2" t="s">
        <v>8</v>
      </c>
      <c r="R1" s="2" t="s">
        <v>0</v>
      </c>
      <c r="T1" s="2" t="s">
        <v>0</v>
      </c>
      <c r="Y1" s="2" t="s">
        <v>5</v>
      </c>
      <c r="AA1" s="2" t="s">
        <v>5</v>
      </c>
      <c r="AE1" s="2" t="s">
        <v>6</v>
      </c>
      <c r="AG1" s="2" t="s">
        <v>6</v>
      </c>
    </row>
    <row r="2" spans="1:33" s="2" customFormat="1" ht="30" x14ac:dyDescent="0.25">
      <c r="A2" s="2">
        <v>1</v>
      </c>
      <c r="B2" s="2" t="s">
        <v>104</v>
      </c>
      <c r="C2" s="2" t="s">
        <v>105</v>
      </c>
      <c r="D2" s="2" t="s">
        <v>106</v>
      </c>
      <c r="E2" s="2">
        <v>1</v>
      </c>
      <c r="F2" s="2" t="s">
        <v>10</v>
      </c>
      <c r="G2" s="5">
        <v>27051</v>
      </c>
      <c r="H2" s="2">
        <v>73</v>
      </c>
      <c r="I2" s="1" t="s">
        <v>11</v>
      </c>
      <c r="J2" s="2">
        <v>1</v>
      </c>
      <c r="K2" s="6">
        <v>1</v>
      </c>
      <c r="L2" s="7" t="s">
        <v>14</v>
      </c>
      <c r="M2" s="2" t="s">
        <v>15</v>
      </c>
      <c r="Q2" s="2">
        <v>1</v>
      </c>
      <c r="R2" s="2" t="s">
        <v>9</v>
      </c>
      <c r="S2" s="2">
        <f>INDEX($Q$2:$Q$3,MATCH(T2,$R$2:$R$3,0))</f>
        <v>1</v>
      </c>
      <c r="T2" s="2" t="s">
        <v>9</v>
      </c>
      <c r="X2" s="2">
        <v>1</v>
      </c>
      <c r="Y2" s="2" t="s">
        <v>12</v>
      </c>
      <c r="Z2" s="2">
        <f>INDEX($X$2:$X$6, MATCH(AA2, $Y$2:$Y$6,0))</f>
        <v>1</v>
      </c>
      <c r="AA2" s="2" t="s">
        <v>12</v>
      </c>
      <c r="AD2" s="2">
        <v>1</v>
      </c>
      <c r="AE2" s="6" t="s">
        <v>13</v>
      </c>
      <c r="AF2" s="2">
        <f>INDEX($AD$2:$AD$6, MATCH(AG2, $AE$2:$AE$6,0))</f>
        <v>1</v>
      </c>
      <c r="AG2" s="6" t="s">
        <v>13</v>
      </c>
    </row>
    <row r="3" spans="1:33" s="2" customFormat="1" ht="30" x14ac:dyDescent="0.25">
      <c r="A3" s="2">
        <v>2</v>
      </c>
      <c r="B3" s="2" t="s">
        <v>107</v>
      </c>
      <c r="C3" s="2" t="s">
        <v>108</v>
      </c>
      <c r="D3" s="2" t="s">
        <v>109</v>
      </c>
      <c r="E3" s="2">
        <v>1</v>
      </c>
      <c r="F3" s="2" t="s">
        <v>16</v>
      </c>
      <c r="G3" s="5">
        <v>20983</v>
      </c>
      <c r="H3" s="2">
        <v>47</v>
      </c>
      <c r="I3" s="1" t="s">
        <v>17</v>
      </c>
      <c r="J3" s="2">
        <v>1</v>
      </c>
      <c r="K3" s="6">
        <v>1</v>
      </c>
      <c r="L3" s="7" t="s">
        <v>18</v>
      </c>
      <c r="M3" s="2" t="s">
        <v>19</v>
      </c>
      <c r="Q3" s="2">
        <v>2</v>
      </c>
      <c r="R3" s="8" t="s">
        <v>20</v>
      </c>
      <c r="S3" s="2">
        <f t="shared" ref="S3:S22" si="0">INDEX($Q$2:$Q$3,MATCH(T3,$R$2:$R$3,0))</f>
        <v>1</v>
      </c>
      <c r="T3" s="2" t="s">
        <v>9</v>
      </c>
      <c r="X3" s="2">
        <v>2</v>
      </c>
      <c r="Y3" s="2" t="s">
        <v>23</v>
      </c>
      <c r="Z3" s="2">
        <f t="shared" ref="Z3:Z22" si="1">INDEX($X$2:$X$6, MATCH(AA3, $Y$2:$Y$6,0))</f>
        <v>1</v>
      </c>
      <c r="AA3" s="2" t="s">
        <v>12</v>
      </c>
      <c r="AD3" s="2">
        <v>2</v>
      </c>
      <c r="AE3" s="6" t="s">
        <v>24</v>
      </c>
      <c r="AF3" s="2">
        <f t="shared" ref="AF3:AF22" si="2">INDEX($AD$2:$AD$6, MATCH(AG3, $AE$2:$AE$6,0))</f>
        <v>1</v>
      </c>
      <c r="AG3" s="6" t="s">
        <v>13</v>
      </c>
    </row>
    <row r="4" spans="1:33" s="2" customFormat="1" ht="30" x14ac:dyDescent="0.25">
      <c r="A4" s="2">
        <v>3</v>
      </c>
      <c r="B4" s="2" t="s">
        <v>110</v>
      </c>
      <c r="C4" s="2" t="s">
        <v>111</v>
      </c>
      <c r="D4" s="2" t="s">
        <v>112</v>
      </c>
      <c r="E4" s="2">
        <v>2</v>
      </c>
      <c r="F4" s="2" t="s">
        <v>21</v>
      </c>
      <c r="G4" s="5">
        <v>22065</v>
      </c>
      <c r="H4" s="2">
        <v>21</v>
      </c>
      <c r="I4" s="1" t="s">
        <v>22</v>
      </c>
      <c r="J4" s="2">
        <v>2</v>
      </c>
      <c r="K4" s="6">
        <v>2</v>
      </c>
      <c r="L4" s="7" t="s">
        <v>25</v>
      </c>
      <c r="M4" s="2" t="s">
        <v>26</v>
      </c>
      <c r="S4" s="2">
        <f t="shared" si="0"/>
        <v>2</v>
      </c>
      <c r="T4" s="2" t="s">
        <v>20</v>
      </c>
      <c r="X4" s="2">
        <v>3</v>
      </c>
      <c r="Y4" s="2" t="s">
        <v>29</v>
      </c>
      <c r="Z4" s="2">
        <f t="shared" si="1"/>
        <v>2</v>
      </c>
      <c r="AA4" s="2" t="s">
        <v>23</v>
      </c>
      <c r="AD4" s="2">
        <v>3</v>
      </c>
      <c r="AE4" s="6" t="s">
        <v>30</v>
      </c>
      <c r="AF4" s="2">
        <f t="shared" si="2"/>
        <v>2</v>
      </c>
      <c r="AG4" s="6" t="s">
        <v>24</v>
      </c>
    </row>
    <row r="5" spans="1:33" s="2" customFormat="1" ht="30" x14ac:dyDescent="0.25">
      <c r="A5" s="2">
        <v>4</v>
      </c>
      <c r="B5" s="2" t="s">
        <v>113</v>
      </c>
      <c r="C5" s="2" t="s">
        <v>114</v>
      </c>
      <c r="D5" s="2" t="s">
        <v>115</v>
      </c>
      <c r="E5" s="2">
        <v>2</v>
      </c>
      <c r="F5" s="2" t="s">
        <v>27</v>
      </c>
      <c r="G5" s="5">
        <v>35288</v>
      </c>
      <c r="H5" s="2">
        <v>96</v>
      </c>
      <c r="I5" s="1" t="s">
        <v>28</v>
      </c>
      <c r="J5" s="2">
        <v>3</v>
      </c>
      <c r="K5" s="6">
        <v>3</v>
      </c>
      <c r="L5" s="7" t="s">
        <v>31</v>
      </c>
      <c r="M5" s="2" t="s">
        <v>32</v>
      </c>
      <c r="S5" s="2">
        <f t="shared" si="0"/>
        <v>2</v>
      </c>
      <c r="T5" s="2" t="s">
        <v>20</v>
      </c>
      <c r="X5" s="2">
        <v>4</v>
      </c>
      <c r="Y5" s="2" t="s">
        <v>39</v>
      </c>
      <c r="Z5" s="2">
        <f t="shared" si="1"/>
        <v>3</v>
      </c>
      <c r="AA5" s="2" t="s">
        <v>29</v>
      </c>
      <c r="AD5" s="2">
        <v>4</v>
      </c>
      <c r="AE5" s="6" t="s">
        <v>40</v>
      </c>
      <c r="AF5" s="2">
        <f t="shared" si="2"/>
        <v>3</v>
      </c>
      <c r="AG5" s="6" t="s">
        <v>30</v>
      </c>
    </row>
    <row r="6" spans="1:33" s="2" customFormat="1" ht="30" x14ac:dyDescent="0.25">
      <c r="A6" s="2">
        <v>5</v>
      </c>
      <c r="B6" s="2" t="s">
        <v>104</v>
      </c>
      <c r="C6" s="2" t="s">
        <v>116</v>
      </c>
      <c r="D6" s="2" t="s">
        <v>117</v>
      </c>
      <c r="E6" s="2">
        <v>1</v>
      </c>
      <c r="F6" s="2" t="s">
        <v>33</v>
      </c>
      <c r="G6" s="5">
        <v>25104</v>
      </c>
      <c r="H6" s="2">
        <v>79</v>
      </c>
      <c r="I6" s="1" t="s">
        <v>34</v>
      </c>
      <c r="J6" s="2">
        <v>2</v>
      </c>
      <c r="K6" s="6">
        <v>2</v>
      </c>
      <c r="L6" s="7" t="s">
        <v>35</v>
      </c>
      <c r="M6" s="2" t="s">
        <v>36</v>
      </c>
      <c r="S6" s="2">
        <f t="shared" si="0"/>
        <v>1</v>
      </c>
      <c r="T6" s="2" t="s">
        <v>9</v>
      </c>
      <c r="X6" s="2">
        <v>5</v>
      </c>
      <c r="Y6" s="2" t="s">
        <v>49</v>
      </c>
      <c r="Z6" s="2">
        <f t="shared" si="1"/>
        <v>2</v>
      </c>
      <c r="AA6" s="2" t="s">
        <v>23</v>
      </c>
      <c r="AD6" s="2">
        <v>5</v>
      </c>
      <c r="AE6" s="6" t="s">
        <v>49</v>
      </c>
      <c r="AF6" s="2">
        <f t="shared" si="2"/>
        <v>2</v>
      </c>
      <c r="AG6" s="6" t="s">
        <v>24</v>
      </c>
    </row>
    <row r="7" spans="1:33" s="2" customFormat="1" ht="30" x14ac:dyDescent="0.25">
      <c r="A7" s="2">
        <v>6</v>
      </c>
      <c r="B7" s="2" t="s">
        <v>118</v>
      </c>
      <c r="C7" s="2" t="s">
        <v>119</v>
      </c>
      <c r="D7" s="2" t="s">
        <v>120</v>
      </c>
      <c r="E7" s="2">
        <v>2</v>
      </c>
      <c r="F7" s="2" t="s">
        <v>37</v>
      </c>
      <c r="G7" s="5">
        <v>32528</v>
      </c>
      <c r="H7" s="2">
        <v>72</v>
      </c>
      <c r="I7" s="1" t="s">
        <v>38</v>
      </c>
      <c r="J7" s="2">
        <v>4</v>
      </c>
      <c r="K7" s="6">
        <v>4</v>
      </c>
      <c r="L7" s="7" t="s">
        <v>41</v>
      </c>
      <c r="M7" s="2" t="s">
        <v>42</v>
      </c>
      <c r="S7" s="2">
        <f t="shared" si="0"/>
        <v>2</v>
      </c>
      <c r="T7" s="2" t="s">
        <v>20</v>
      </c>
      <c r="Y7"/>
      <c r="Z7" s="2">
        <f t="shared" si="1"/>
        <v>4</v>
      </c>
      <c r="AA7" s="2" t="s">
        <v>39</v>
      </c>
      <c r="AE7"/>
      <c r="AF7" s="2">
        <f t="shared" si="2"/>
        <v>4</v>
      </c>
      <c r="AG7" s="6" t="s">
        <v>40</v>
      </c>
    </row>
    <row r="8" spans="1:33" s="2" customFormat="1" ht="30" x14ac:dyDescent="0.25">
      <c r="A8" s="2">
        <v>7</v>
      </c>
      <c r="B8" s="2" t="s">
        <v>121</v>
      </c>
      <c r="C8" s="2" t="s">
        <v>122</v>
      </c>
      <c r="D8" s="2" t="s">
        <v>123</v>
      </c>
      <c r="E8" s="2">
        <v>1</v>
      </c>
      <c r="F8" s="2" t="s">
        <v>43</v>
      </c>
      <c r="G8" s="5">
        <v>35916</v>
      </c>
      <c r="H8" s="2">
        <v>63</v>
      </c>
      <c r="I8" s="1" t="s">
        <v>44</v>
      </c>
      <c r="J8" s="2">
        <v>1</v>
      </c>
      <c r="K8" s="6">
        <v>1</v>
      </c>
      <c r="L8" s="7" t="s">
        <v>45</v>
      </c>
      <c r="M8" s="2" t="s">
        <v>46</v>
      </c>
      <c r="S8" s="2">
        <f t="shared" si="0"/>
        <v>1</v>
      </c>
      <c r="T8" s="2" t="s">
        <v>9</v>
      </c>
      <c r="Y8"/>
      <c r="Z8" s="2">
        <f t="shared" si="1"/>
        <v>1</v>
      </c>
      <c r="AA8" s="2" t="s">
        <v>12</v>
      </c>
      <c r="AE8"/>
      <c r="AF8" s="2">
        <f t="shared" si="2"/>
        <v>1</v>
      </c>
      <c r="AG8" s="6" t="s">
        <v>13</v>
      </c>
    </row>
    <row r="9" spans="1:33" s="2" customFormat="1" x14ac:dyDescent="0.25">
      <c r="A9" s="2">
        <v>8</v>
      </c>
      <c r="B9" s="2" t="s">
        <v>124</v>
      </c>
      <c r="C9" s="2" t="s">
        <v>125</v>
      </c>
      <c r="D9" s="2" t="s">
        <v>126</v>
      </c>
      <c r="E9" s="2">
        <v>2</v>
      </c>
      <c r="F9" s="2" t="s">
        <v>47</v>
      </c>
      <c r="G9" s="5">
        <v>30095</v>
      </c>
      <c r="H9" s="2">
        <v>72</v>
      </c>
      <c r="I9" s="1" t="s">
        <v>48</v>
      </c>
      <c r="J9" s="2">
        <v>5</v>
      </c>
      <c r="K9" s="6">
        <v>5</v>
      </c>
      <c r="L9" s="2" t="s">
        <v>50</v>
      </c>
      <c r="M9" s="2" t="s">
        <v>51</v>
      </c>
      <c r="S9" s="2">
        <f t="shared" si="0"/>
        <v>2</v>
      </c>
      <c r="T9" s="2" t="s">
        <v>20</v>
      </c>
      <c r="Y9"/>
      <c r="Z9" s="2">
        <f t="shared" si="1"/>
        <v>5</v>
      </c>
      <c r="AA9" s="2" t="s">
        <v>49</v>
      </c>
      <c r="AE9"/>
      <c r="AF9" s="2">
        <f t="shared" si="2"/>
        <v>5</v>
      </c>
      <c r="AG9" s="6" t="s">
        <v>49</v>
      </c>
    </row>
    <row r="10" spans="1:33" s="2" customFormat="1" ht="30" x14ac:dyDescent="0.25">
      <c r="A10" s="2">
        <v>9</v>
      </c>
      <c r="B10" s="2" t="s">
        <v>127</v>
      </c>
      <c r="C10" s="2" t="s">
        <v>128</v>
      </c>
      <c r="D10" s="2" t="s">
        <v>106</v>
      </c>
      <c r="E10" s="2">
        <v>1</v>
      </c>
      <c r="F10" s="2" t="s">
        <v>52</v>
      </c>
      <c r="G10" s="5">
        <v>25290</v>
      </c>
      <c r="H10" s="2">
        <v>64</v>
      </c>
      <c r="I10" s="1" t="s">
        <v>53</v>
      </c>
      <c r="J10" s="2">
        <v>2</v>
      </c>
      <c r="K10" s="6">
        <v>2</v>
      </c>
      <c r="L10" s="7" t="s">
        <v>54</v>
      </c>
      <c r="M10" s="2" t="s">
        <v>55</v>
      </c>
      <c r="S10" s="2">
        <f t="shared" si="0"/>
        <v>1</v>
      </c>
      <c r="T10" s="2" t="s">
        <v>9</v>
      </c>
      <c r="Y10"/>
      <c r="Z10" s="2">
        <f t="shared" si="1"/>
        <v>2</v>
      </c>
      <c r="AA10" s="2" t="s">
        <v>23</v>
      </c>
      <c r="AE10"/>
      <c r="AF10" s="2">
        <f t="shared" si="2"/>
        <v>2</v>
      </c>
      <c r="AG10" s="6" t="s">
        <v>24</v>
      </c>
    </row>
    <row r="11" spans="1:33" s="2" customFormat="1" ht="30" x14ac:dyDescent="0.25">
      <c r="A11" s="2">
        <v>10</v>
      </c>
      <c r="B11" s="2" t="s">
        <v>129</v>
      </c>
      <c r="C11" s="2" t="s">
        <v>130</v>
      </c>
      <c r="D11" s="2" t="s">
        <v>131</v>
      </c>
      <c r="E11" s="2">
        <v>2</v>
      </c>
      <c r="F11" s="2" t="s">
        <v>56</v>
      </c>
      <c r="G11" s="5">
        <v>29524</v>
      </c>
      <c r="H11" s="2">
        <v>48</v>
      </c>
      <c r="I11" s="1" t="s">
        <v>57</v>
      </c>
      <c r="J11" s="2">
        <v>4</v>
      </c>
      <c r="K11" s="6">
        <v>4</v>
      </c>
      <c r="L11" s="7" t="s">
        <v>58</v>
      </c>
      <c r="M11" s="2" t="s">
        <v>59</v>
      </c>
      <c r="S11" s="2">
        <f t="shared" si="0"/>
        <v>2</v>
      </c>
      <c r="T11" s="2" t="s">
        <v>20</v>
      </c>
      <c r="Y11"/>
      <c r="Z11" s="2">
        <f t="shared" si="1"/>
        <v>4</v>
      </c>
      <c r="AA11" s="2" t="s">
        <v>39</v>
      </c>
      <c r="AE11"/>
      <c r="AF11" s="2">
        <f t="shared" si="2"/>
        <v>4</v>
      </c>
      <c r="AG11" s="6" t="s">
        <v>40</v>
      </c>
    </row>
    <row r="12" spans="1:33" s="2" customFormat="1" ht="30" x14ac:dyDescent="0.25">
      <c r="A12" s="2">
        <v>11</v>
      </c>
      <c r="B12" s="2" t="s">
        <v>132</v>
      </c>
      <c r="C12" s="2" t="s">
        <v>133</v>
      </c>
      <c r="D12" s="2" t="s">
        <v>120</v>
      </c>
      <c r="E12" s="2">
        <v>2</v>
      </c>
      <c r="F12" s="2" t="s">
        <v>60</v>
      </c>
      <c r="G12" s="5">
        <v>35834</v>
      </c>
      <c r="H12" s="2">
        <v>46</v>
      </c>
      <c r="I12" s="1" t="s">
        <v>61</v>
      </c>
      <c r="J12" s="2">
        <v>4</v>
      </c>
      <c r="K12" s="6">
        <v>4</v>
      </c>
      <c r="L12" s="7" t="s">
        <v>62</v>
      </c>
      <c r="M12" s="2" t="s">
        <v>63</v>
      </c>
      <c r="S12" s="2">
        <f t="shared" si="0"/>
        <v>2</v>
      </c>
      <c r="T12" s="2" t="s">
        <v>20</v>
      </c>
      <c r="Y12"/>
      <c r="Z12" s="2">
        <f t="shared" si="1"/>
        <v>4</v>
      </c>
      <c r="AA12" s="2" t="s">
        <v>39</v>
      </c>
      <c r="AE12"/>
      <c r="AF12" s="2">
        <f t="shared" si="2"/>
        <v>4</v>
      </c>
      <c r="AG12" s="6" t="s">
        <v>40</v>
      </c>
    </row>
    <row r="13" spans="1:33" s="2" customFormat="1" ht="30" x14ac:dyDescent="0.25">
      <c r="A13" s="2">
        <v>12</v>
      </c>
      <c r="B13" s="2" t="s">
        <v>134</v>
      </c>
      <c r="C13" s="2" t="s">
        <v>135</v>
      </c>
      <c r="D13" s="2" t="s">
        <v>136</v>
      </c>
      <c r="E13" s="2">
        <v>2</v>
      </c>
      <c r="F13" s="2" t="s">
        <v>64</v>
      </c>
      <c r="G13" s="5">
        <v>28517</v>
      </c>
      <c r="H13" s="2">
        <v>76</v>
      </c>
      <c r="I13" s="1" t="s">
        <v>65</v>
      </c>
      <c r="J13" s="2">
        <v>5</v>
      </c>
      <c r="K13" s="6">
        <v>5</v>
      </c>
      <c r="L13" s="7" t="s">
        <v>66</v>
      </c>
      <c r="M13" s="2" t="s">
        <v>67</v>
      </c>
      <c r="S13" s="2">
        <f t="shared" si="0"/>
        <v>2</v>
      </c>
      <c r="T13" s="2" t="s">
        <v>20</v>
      </c>
      <c r="Y13"/>
      <c r="Z13" s="2">
        <f t="shared" si="1"/>
        <v>5</v>
      </c>
      <c r="AA13" s="2" t="s">
        <v>49</v>
      </c>
      <c r="AE13"/>
      <c r="AF13" s="2">
        <f t="shared" si="2"/>
        <v>5</v>
      </c>
      <c r="AG13" s="6" t="s">
        <v>49</v>
      </c>
    </row>
    <row r="14" spans="1:33" s="2" customFormat="1" ht="30" x14ac:dyDescent="0.25">
      <c r="A14" s="2">
        <v>13</v>
      </c>
      <c r="B14" s="2" t="s">
        <v>137</v>
      </c>
      <c r="C14" s="2" t="s">
        <v>138</v>
      </c>
      <c r="D14" s="2" t="s">
        <v>139</v>
      </c>
      <c r="E14" s="2">
        <v>1</v>
      </c>
      <c r="F14" s="2" t="s">
        <v>68</v>
      </c>
      <c r="G14" s="5">
        <v>19510</v>
      </c>
      <c r="H14" s="2">
        <v>24</v>
      </c>
      <c r="I14" s="1" t="s">
        <v>69</v>
      </c>
      <c r="J14" s="2">
        <v>3</v>
      </c>
      <c r="K14" s="6">
        <v>3</v>
      </c>
      <c r="L14" s="7" t="s">
        <v>70</v>
      </c>
      <c r="M14" s="2" t="s">
        <v>71</v>
      </c>
      <c r="S14" s="2">
        <f t="shared" si="0"/>
        <v>1</v>
      </c>
      <c r="T14" s="2" t="s">
        <v>9</v>
      </c>
      <c r="Y14"/>
      <c r="Z14" s="2">
        <f t="shared" si="1"/>
        <v>3</v>
      </c>
      <c r="AA14" s="2" t="s">
        <v>29</v>
      </c>
      <c r="AE14"/>
      <c r="AF14" s="2">
        <f t="shared" si="2"/>
        <v>3</v>
      </c>
      <c r="AG14" s="6" t="s">
        <v>30</v>
      </c>
    </row>
    <row r="15" spans="1:33" s="2" customFormat="1" ht="30" x14ac:dyDescent="0.25">
      <c r="A15" s="2">
        <v>14</v>
      </c>
      <c r="B15" s="2" t="s">
        <v>140</v>
      </c>
      <c r="C15" s="2" t="s">
        <v>141</v>
      </c>
      <c r="D15" s="2" t="s">
        <v>142</v>
      </c>
      <c r="E15" s="2">
        <v>2</v>
      </c>
      <c r="F15" s="2" t="s">
        <v>72</v>
      </c>
      <c r="G15" s="5">
        <v>27752</v>
      </c>
      <c r="H15" s="2">
        <v>79</v>
      </c>
      <c r="I15" s="1" t="s">
        <v>73</v>
      </c>
      <c r="J15" s="2">
        <v>3</v>
      </c>
      <c r="K15" s="6">
        <v>3</v>
      </c>
      <c r="L15" s="7" t="s">
        <v>74</v>
      </c>
      <c r="M15" s="2" t="s">
        <v>75</v>
      </c>
      <c r="S15" s="2">
        <f t="shared" si="0"/>
        <v>2</v>
      </c>
      <c r="T15" s="2" t="s">
        <v>20</v>
      </c>
      <c r="Y15"/>
      <c r="Z15" s="2">
        <f t="shared" si="1"/>
        <v>3</v>
      </c>
      <c r="AA15" s="2" t="s">
        <v>29</v>
      </c>
      <c r="AE15"/>
      <c r="AF15" s="2">
        <f t="shared" si="2"/>
        <v>3</v>
      </c>
      <c r="AG15" s="6" t="s">
        <v>30</v>
      </c>
    </row>
    <row r="16" spans="1:33" s="2" customFormat="1" ht="30" x14ac:dyDescent="0.25">
      <c r="A16" s="2">
        <v>15</v>
      </c>
      <c r="B16" s="2" t="s">
        <v>143</v>
      </c>
      <c r="C16" s="2" t="s">
        <v>144</v>
      </c>
      <c r="D16" s="2" t="s">
        <v>145</v>
      </c>
      <c r="E16" s="2">
        <v>1</v>
      </c>
      <c r="F16" s="2" t="s">
        <v>76</v>
      </c>
      <c r="G16" s="5">
        <v>27892</v>
      </c>
      <c r="H16" s="2">
        <v>6</v>
      </c>
      <c r="I16" s="1" t="s">
        <v>77</v>
      </c>
      <c r="J16" s="2">
        <v>3</v>
      </c>
      <c r="K16" s="6">
        <v>3</v>
      </c>
      <c r="L16" s="7" t="s">
        <v>78</v>
      </c>
      <c r="M16" s="2" t="s">
        <v>79</v>
      </c>
      <c r="S16" s="2">
        <f t="shared" si="0"/>
        <v>1</v>
      </c>
      <c r="T16" s="2" t="s">
        <v>9</v>
      </c>
      <c r="Y16"/>
      <c r="Z16" s="2">
        <f t="shared" si="1"/>
        <v>3</v>
      </c>
      <c r="AA16" s="2" t="s">
        <v>29</v>
      </c>
      <c r="AE16"/>
      <c r="AF16" s="2">
        <f t="shared" si="2"/>
        <v>3</v>
      </c>
      <c r="AG16" s="6" t="s">
        <v>30</v>
      </c>
    </row>
    <row r="17" spans="1:33" s="2" customFormat="1" ht="30" x14ac:dyDescent="0.25">
      <c r="A17" s="2">
        <v>16</v>
      </c>
      <c r="B17" s="2" t="s">
        <v>146</v>
      </c>
      <c r="C17" s="2" t="s">
        <v>130</v>
      </c>
      <c r="D17" s="2" t="s">
        <v>147</v>
      </c>
      <c r="E17" s="2">
        <v>2</v>
      </c>
      <c r="F17" s="2" t="s">
        <v>80</v>
      </c>
      <c r="G17" s="5">
        <v>26793</v>
      </c>
      <c r="H17" s="2">
        <v>72</v>
      </c>
      <c r="I17" s="1" t="s">
        <v>81</v>
      </c>
      <c r="J17" s="2">
        <v>5</v>
      </c>
      <c r="K17" s="6">
        <v>5</v>
      </c>
      <c r="L17" s="7" t="s">
        <v>82</v>
      </c>
      <c r="M17" s="2" t="s">
        <v>83</v>
      </c>
      <c r="S17" s="2">
        <f t="shared" si="0"/>
        <v>2</v>
      </c>
      <c r="T17" s="2" t="s">
        <v>20</v>
      </c>
      <c r="Y17"/>
      <c r="Z17" s="2">
        <f t="shared" si="1"/>
        <v>5</v>
      </c>
      <c r="AA17" s="2" t="s">
        <v>49</v>
      </c>
      <c r="AE17"/>
      <c r="AF17" s="2">
        <f t="shared" si="2"/>
        <v>5</v>
      </c>
      <c r="AG17" s="6" t="s">
        <v>49</v>
      </c>
    </row>
    <row r="18" spans="1:33" s="2" customFormat="1" ht="30" x14ac:dyDescent="0.25">
      <c r="A18" s="2">
        <v>17</v>
      </c>
      <c r="B18" s="2" t="s">
        <v>148</v>
      </c>
      <c r="C18" s="2" t="s">
        <v>149</v>
      </c>
      <c r="D18" s="2" t="s">
        <v>150</v>
      </c>
      <c r="E18" s="2">
        <v>2</v>
      </c>
      <c r="F18" s="2" t="s">
        <v>84</v>
      </c>
      <c r="G18" s="5">
        <v>22884</v>
      </c>
      <c r="H18" s="2">
        <v>98</v>
      </c>
      <c r="I18" s="1" t="s">
        <v>85</v>
      </c>
      <c r="J18" s="2">
        <v>5</v>
      </c>
      <c r="K18" s="6">
        <v>5</v>
      </c>
      <c r="L18" s="7" t="s">
        <v>86</v>
      </c>
      <c r="M18" s="2" t="s">
        <v>87</v>
      </c>
      <c r="S18" s="2">
        <f t="shared" si="0"/>
        <v>2</v>
      </c>
      <c r="T18" s="2" t="s">
        <v>20</v>
      </c>
      <c r="Y18"/>
      <c r="Z18" s="2">
        <f t="shared" si="1"/>
        <v>5</v>
      </c>
      <c r="AA18" s="2" t="s">
        <v>49</v>
      </c>
      <c r="AE18"/>
      <c r="AF18" s="2">
        <f t="shared" si="2"/>
        <v>5</v>
      </c>
      <c r="AG18" s="6" t="s">
        <v>49</v>
      </c>
    </row>
    <row r="19" spans="1:33" s="2" customFormat="1" ht="30" x14ac:dyDescent="0.25">
      <c r="A19" s="2">
        <v>18</v>
      </c>
      <c r="B19" s="2" t="s">
        <v>151</v>
      </c>
      <c r="C19" s="2" t="s">
        <v>152</v>
      </c>
      <c r="D19" s="2" t="s">
        <v>153</v>
      </c>
      <c r="E19" s="2">
        <v>1</v>
      </c>
      <c r="F19" s="2" t="s">
        <v>88</v>
      </c>
      <c r="G19" s="5">
        <v>32470</v>
      </c>
      <c r="H19" s="2">
        <v>39</v>
      </c>
      <c r="I19" s="1" t="s">
        <v>89</v>
      </c>
      <c r="J19" s="2">
        <v>2</v>
      </c>
      <c r="K19" s="6">
        <v>2</v>
      </c>
      <c r="L19" s="7" t="s">
        <v>90</v>
      </c>
      <c r="M19" s="2" t="s">
        <v>91</v>
      </c>
      <c r="S19" s="2">
        <f t="shared" si="0"/>
        <v>1</v>
      </c>
      <c r="T19" s="2" t="s">
        <v>9</v>
      </c>
      <c r="Y19"/>
      <c r="Z19" s="2">
        <f t="shared" si="1"/>
        <v>2</v>
      </c>
      <c r="AA19" s="2" t="s">
        <v>23</v>
      </c>
      <c r="AE19"/>
      <c r="AF19" s="2">
        <f t="shared" si="2"/>
        <v>2</v>
      </c>
      <c r="AG19" s="6" t="s">
        <v>24</v>
      </c>
    </row>
    <row r="20" spans="1:33" s="2" customFormat="1" ht="30" x14ac:dyDescent="0.25">
      <c r="A20" s="2">
        <v>19</v>
      </c>
      <c r="B20" s="2" t="s">
        <v>154</v>
      </c>
      <c r="C20" s="2" t="s">
        <v>155</v>
      </c>
      <c r="D20" s="2" t="s">
        <v>156</v>
      </c>
      <c r="E20" s="2">
        <v>1</v>
      </c>
      <c r="F20" s="2" t="s">
        <v>92</v>
      </c>
      <c r="G20" s="5">
        <v>22771</v>
      </c>
      <c r="H20" s="2">
        <v>13</v>
      </c>
      <c r="I20" s="1" t="s">
        <v>93</v>
      </c>
      <c r="J20" s="2">
        <v>4</v>
      </c>
      <c r="K20" s="6">
        <v>4</v>
      </c>
      <c r="L20" s="7" t="s">
        <v>94</v>
      </c>
      <c r="M20" s="2" t="s">
        <v>95</v>
      </c>
      <c r="S20" s="2">
        <f t="shared" si="0"/>
        <v>1</v>
      </c>
      <c r="T20" s="2" t="s">
        <v>9</v>
      </c>
      <c r="Y20"/>
      <c r="Z20" s="2">
        <f t="shared" si="1"/>
        <v>4</v>
      </c>
      <c r="AA20" s="2" t="s">
        <v>39</v>
      </c>
      <c r="AE20"/>
      <c r="AF20" s="2">
        <f t="shared" si="2"/>
        <v>4</v>
      </c>
      <c r="AG20" s="6" t="s">
        <v>40</v>
      </c>
    </row>
    <row r="21" spans="1:33" s="2" customFormat="1" ht="30" x14ac:dyDescent="0.25">
      <c r="A21" s="2">
        <v>20</v>
      </c>
      <c r="B21" s="2" t="s">
        <v>157</v>
      </c>
      <c r="C21" s="2" t="s">
        <v>158</v>
      </c>
      <c r="D21" s="2" t="s">
        <v>159</v>
      </c>
      <c r="E21" s="2">
        <v>2</v>
      </c>
      <c r="F21" s="2" t="s">
        <v>96</v>
      </c>
      <c r="G21" s="5">
        <v>32521</v>
      </c>
      <c r="H21" s="2">
        <v>20</v>
      </c>
      <c r="I21" s="1" t="s">
        <v>97</v>
      </c>
      <c r="J21" s="2">
        <v>5</v>
      </c>
      <c r="K21" s="6">
        <v>5</v>
      </c>
      <c r="L21" s="7" t="s">
        <v>98</v>
      </c>
      <c r="M21" s="2" t="s">
        <v>99</v>
      </c>
      <c r="S21" s="2">
        <f t="shared" si="0"/>
        <v>2</v>
      </c>
      <c r="T21" s="2" t="s">
        <v>20</v>
      </c>
      <c r="Y21"/>
      <c r="Z21" s="2">
        <f t="shared" si="1"/>
        <v>5</v>
      </c>
      <c r="AA21" s="2" t="s">
        <v>49</v>
      </c>
      <c r="AE21"/>
      <c r="AF21" s="2">
        <f t="shared" si="2"/>
        <v>5</v>
      </c>
      <c r="AG21" s="6" t="s">
        <v>49</v>
      </c>
    </row>
    <row r="22" spans="1:33" s="2" customFormat="1" ht="30" x14ac:dyDescent="0.25">
      <c r="A22" s="2">
        <v>21</v>
      </c>
      <c r="B22" s="2" t="s">
        <v>160</v>
      </c>
      <c r="C22" s="2" t="s">
        <v>161</v>
      </c>
      <c r="D22" s="2" t="s">
        <v>115</v>
      </c>
      <c r="E22" s="2">
        <v>2</v>
      </c>
      <c r="F22" s="2" t="s">
        <v>100</v>
      </c>
      <c r="G22" s="5">
        <v>31892</v>
      </c>
      <c r="H22" s="2">
        <v>7</v>
      </c>
      <c r="I22" s="1" t="s">
        <v>101</v>
      </c>
      <c r="J22" s="2">
        <v>2</v>
      </c>
      <c r="K22" s="6">
        <v>2</v>
      </c>
      <c r="L22" s="7" t="s">
        <v>102</v>
      </c>
      <c r="M22" s="2" t="s">
        <v>103</v>
      </c>
      <c r="S22" s="2">
        <f t="shared" si="0"/>
        <v>2</v>
      </c>
      <c r="T22" s="2" t="s">
        <v>20</v>
      </c>
      <c r="Y22"/>
      <c r="Z22" s="2">
        <f t="shared" si="1"/>
        <v>2</v>
      </c>
      <c r="AA22" s="2" t="s">
        <v>23</v>
      </c>
      <c r="AE22"/>
      <c r="AF22" s="2">
        <f t="shared" si="2"/>
        <v>2</v>
      </c>
      <c r="AG22" s="6" t="s">
        <v>24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2025-03-03T11:42:27Z</dcterms:modified>
</cp:coreProperties>
</file>